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기준값" sheetId="1" state="visible" r:id="rId1"/>
    <sheet xmlns:r="http://schemas.openxmlformats.org/officeDocument/2006/relationships" name="그림1_데이터" sheetId="2" state="visible" r:id="rId2"/>
    <sheet xmlns:r="http://schemas.openxmlformats.org/officeDocument/2006/relationships" name="차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"/>
  </numFmts>
  <fonts count="8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color rgb="00666666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0000FF"/>
      <sz val="10"/>
    </font>
    <font>
      <name val="Arial"/>
      <sz val="10"/>
    </font>
    <font>
      <name val="Arial"/>
      <color rgb="00008000"/>
      <sz val="10"/>
    </font>
  </fonts>
  <fills count="5">
    <fill>
      <patternFill/>
    </fill>
    <fill>
      <patternFill patternType="gray125"/>
    </fill>
    <fill>
      <patternFill patternType="solid">
        <fgColor rgb="001F3B57"/>
      </patternFill>
    </fill>
    <fill>
      <patternFill patternType="solid">
        <fgColor rgb="00FFFF00"/>
      </patternFill>
    </fill>
    <fill>
      <patternFill patternType="solid">
        <fgColor rgb="00FDE9E7"/>
      </patternFill>
    </fill>
  </fills>
  <borders count="2">
    <border>
      <left/>
      <right/>
      <top/>
      <bottom/>
      <diagonal/>
    </border>
    <border>
      <left style="thin">
        <color rgb="00D5DCE4"/>
      </left>
      <right style="thin">
        <color rgb="00D5DCE4"/>
      </right>
      <top style="thin">
        <color rgb="00D5DCE4"/>
      </top>
      <bottom style="thin">
        <color rgb="00D5DCE4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164" fontId="5" fillId="3" borderId="1" pivotButton="0" quotePrefix="0" xfId="0"/>
    <xf numFmtId="0" fontId="6" fillId="0" borderId="1" pivotButton="0" quotePrefix="0" xfId="0"/>
    <xf numFmtId="1" fontId="5" fillId="3" borderId="1" pivotButton="0" quotePrefix="0" xfId="0"/>
    <xf numFmtId="164" fontId="6" fillId="0" borderId="1" pivotButton="0" quotePrefix="0" xfId="0"/>
    <xf numFmtId="0" fontId="4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 wrapText="1"/>
    </xf>
    <xf numFmtId="2" fontId="6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6" fillId="0" borderId="1" applyAlignment="1" pivotButton="0" quotePrefix="0" xfId="0">
      <alignment horizontal="center"/>
    </xf>
    <xf numFmtId="0" fontId="6" fillId="4" borderId="1" pivotButton="0" quotePrefix="0" xfId="0"/>
    <xf numFmtId="164" fontId="6" fillId="4" borderId="1" pivotButton="0" quotePrefix="0" xfId="0"/>
    <xf numFmtId="2" fontId="6" fillId="4" borderId="1" pivotButton="0" quotePrefix="0" xfId="0"/>
    <xf numFmtId="164" fontId="7" fillId="4" borderId="1" pivotButton="0" quotePrefix="0" xfId="0"/>
    <xf numFmtId="165" fontId="7" fillId="4" borderId="1" pivotButton="0" quotePrefix="0" xfId="0"/>
    <xf numFmtId="0" fontId="6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① 일평균 값 — 한 점이 선을 넘었나</a:t>
            </a:r>
          </a:p>
        </rich>
      </tx>
    </title>
    <plotArea>
      <lineChart>
        <grouping val="standard"/>
        <ser>
          <idx val="0"/>
          <order val="0"/>
          <tx>
            <strRef>
              <f>'그림1_데이터'!B1</f>
            </strRef>
          </tx>
          <spPr>
            <a:ln xmlns:a="http://schemas.openxmlformats.org/drawingml/2006/main" w="20000">
              <a:solidFill>
                <a:srgbClr val="1F3B5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'그림1_데이터'!$A$2:$A$89</f>
            </numRef>
          </cat>
          <val>
            <numRef>
              <f>'그림1_데이터'!$B$2:$B$89</f>
            </numRef>
          </val>
          <smooth val="0"/>
        </ser>
        <ser>
          <idx val="1"/>
          <order val="1"/>
          <tx>
            <strRef>
              <f>'그림1_데이터'!E1</f>
            </strRef>
          </tx>
          <spPr>
            <a:ln xmlns:a="http://schemas.openxmlformats.org/drawingml/2006/main" w="12000">
              <a:solidFill>
                <a:srgbClr val="9AA7B4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'그림1_데이터'!$A$2:$A$89</f>
            </numRef>
          </cat>
          <val>
            <numRef>
              <f>'그림1_데이터'!$E$2:$E$89</f>
            </numRef>
          </val>
          <smooth val="0"/>
        </ser>
        <ser>
          <idx val="2"/>
          <order val="2"/>
          <tx>
            <strRef>
              <f>'그림1_데이터'!F1</f>
            </strRef>
          </tx>
          <spPr>
            <a:ln xmlns:a="http://schemas.openxmlformats.org/drawingml/2006/main" w="12000">
              <a:solidFill>
                <a:srgbClr val="C2372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'그림1_데이터'!$A$2:$A$89</f>
            </numRef>
          </cat>
          <val>
            <numRef>
              <f>'그림1_데이터'!$F$2:$F$89</f>
            </numRef>
          </val>
          <smooth val="0"/>
        </ser>
        <ser>
          <idx val="3"/>
          <order val="3"/>
          <tx>
            <strRef>
              <f>'그림1_데이터'!G1</f>
            </strRef>
          </tx>
          <spPr>
            <a:ln xmlns:a="http://schemas.openxmlformats.org/drawingml/2006/main" w="12000">
              <a:solidFill>
                <a:srgbClr val="C2372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'그림1_데이터'!$A$2:$A$89</f>
            </numRef>
          </cat>
          <val>
            <numRef>
              <f>'그림1_데이터'!$G$2:$G$89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0.3"/>
          <min val="9.65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CLN_Flow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② 누적합 C⁻ — 작은 편차가 쌓였나</a:t>
            </a:r>
          </a:p>
        </rich>
      </tx>
    </title>
    <plotArea>
      <lineChart>
        <grouping val="standard"/>
        <ser>
          <idx val="0"/>
          <order val="0"/>
          <tx>
            <strRef>
              <f>'그림1_데이터'!C1</f>
            </strRef>
          </tx>
          <spPr>
            <a:ln xmlns:a="http://schemas.openxmlformats.org/drawingml/2006/main" w="20000">
              <a:solidFill>
                <a:srgbClr val="C2372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'그림1_데이터'!$A$2:$A$89</f>
            </numRef>
          </cat>
          <val>
            <numRef>
              <f>'그림1_데이터'!$C$2:$C$89</f>
            </numRef>
          </val>
          <smooth val="0"/>
        </ser>
        <ser>
          <idx val="1"/>
          <order val="1"/>
          <tx>
            <strRef>
              <f>'그림1_데이터'!H1</f>
            </strRef>
          </tx>
          <spPr>
            <a:ln xmlns:a="http://schemas.openxmlformats.org/drawingml/2006/main" w="12000">
              <a:solidFill>
                <a:srgbClr val="1F3B57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'그림1_데이터'!$A$2:$A$89</f>
            </numRef>
          </cat>
          <val>
            <numRef>
              <f>'그림1_데이터'!$H$2:$H$89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누적합 (σ)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14조</author>
  </authors>
  <commentList>
    <comment ref="B4" authorId="0" shapeId="0">
      <text>
        <t>출처: analysis_outputs/preprocessing/00_stratum_baseline_stats_by_opcond.csv</t>
      </text>
    </comment>
    <comment ref="B5" authorId="0" shapeId="0">
      <text>
        <t>출처: 위와 같은 파일</t>
      </text>
    </comment>
    <comment ref="B6" authorId="0" shapeId="0">
      <text>
        <t>CLAUDE.md 규칙 3</t>
      </text>
    </comment>
    <comment ref="B7" authorId="0" shapeId="0">
      <text>
        <t>근거: docs/판정근거_정리.md 2-3절 · 구간 [0.65, 0.80]</t>
      </text>
    </comment>
    <comment ref="B8" authorId="0" shapeId="0">
      <text>
        <t>근거: 같은 문서 · 구간 [4.3, 4.5]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936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21</row>
      <rowOff>0</rowOff>
    </from>
    <ext cx="9360000" cy="30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46" customWidth="1" min="3" max="3"/>
  </cols>
  <sheetData>
    <row r="1">
      <c r="A1" s="1" t="inlineStr">
        <is>
          <t>그림1 기준값 — DP04 / CLN_Flow / PKG_A / RCP_1</t>
        </is>
      </c>
    </row>
    <row r="2">
      <c r="A2" s="2" t="inlineStr">
        <is>
          <t>아래 파란 셀만 바꾸면 데이터 시트의 관리한계·경보 판정이 전부 따라 바뀝니다. 검은 셀은 수식입니다.</t>
        </is>
      </c>
    </row>
    <row r="3">
      <c r="A3" s="3" t="inlineStr">
        <is>
          <t>항목</t>
        </is>
      </c>
      <c r="B3" s="3" t="inlineStr">
        <is>
          <t>값</t>
        </is>
      </c>
      <c r="C3" s="3" t="inlineStr">
        <is>
          <t>무엇인가</t>
        </is>
      </c>
    </row>
    <row r="4">
      <c r="A4" s="4" t="inlineStr">
        <is>
          <t>정상값 (target)</t>
        </is>
      </c>
      <c r="B4" s="5" t="n">
        <v>9.977617731721358</v>
      </c>
      <c r="C4" s="6" t="inlineStr">
        <is>
          <t>OPCOND(PKG_A×RCP_1) 층별 정상군 평균</t>
        </is>
      </c>
    </row>
    <row r="5">
      <c r="A5" s="4" t="inlineStr">
        <is>
          <t>표준편차 σ</t>
        </is>
      </c>
      <c r="B5" s="5" t="n">
        <v>0.0828572844910999</v>
      </c>
      <c r="C5" s="6" t="inlineStr">
        <is>
          <t>같은 층의 정상군 표준편차</t>
        </is>
      </c>
    </row>
    <row r="6">
      <c r="A6" s="4" t="inlineStr">
        <is>
          <t>관리한계 배수</t>
        </is>
      </c>
      <c r="B6" s="7" t="n">
        <v>3</v>
      </c>
      <c r="C6" s="6" t="inlineStr">
        <is>
          <t>Shewhart 3σ</t>
        </is>
      </c>
    </row>
    <row r="7">
      <c r="A7" s="4" t="inlineStr">
        <is>
          <t>CUSUM_K</t>
        </is>
      </c>
      <c r="B7" s="5" t="n">
        <v>0.7</v>
      </c>
      <c r="C7" s="6" t="inlineStr">
        <is>
          <t>이보다 작은 편차는 누적하지 않음</t>
        </is>
      </c>
    </row>
    <row r="8">
      <c r="A8" s="4" t="inlineStr">
        <is>
          <t>CUSUM_H</t>
        </is>
      </c>
      <c r="B8" s="5" t="n">
        <v>4.5</v>
      </c>
      <c r="C8" s="6" t="inlineStr">
        <is>
          <t>누적합이 이를 넘으면 지속적 이동 확정</t>
        </is>
      </c>
    </row>
    <row r="9">
      <c r="A9" s="4" t="inlineStr">
        <is>
          <t>관리상한</t>
        </is>
      </c>
      <c r="B9" s="8">
        <f>B4+B6*B5</f>
        <v/>
      </c>
      <c r="C9" s="6" t="inlineStr">
        <is>
          <t>정상값 + 3σ</t>
        </is>
      </c>
    </row>
    <row r="10">
      <c r="A10" s="4" t="inlineStr">
        <is>
          <t>관리하한</t>
        </is>
      </c>
      <c r="B10" s="8">
        <f>B4-B6*B5</f>
        <v/>
      </c>
      <c r="C10" s="6" t="inlineStr">
        <is>
          <t>정상값 − 3σ · 점수를 내는 쪽</t>
        </is>
      </c>
    </row>
    <row r="11">
      <c r="A11" s="4" t="inlineStr">
        <is>
          <t>경보선 (−H)</t>
        </is>
      </c>
      <c r="B11" s="8">
        <f>-B8</f>
        <v/>
      </c>
      <c r="C11" s="6" t="inlineStr">
        <is>
          <t>누적합이 이 아래로 가면 경보</t>
        </is>
      </c>
    </row>
    <row r="13">
      <c r="A13" s="9" t="inlineStr">
        <is>
          <t>CUSUM 판정식</t>
        </is>
      </c>
    </row>
    <row r="14">
      <c r="A14" s="10" t="inlineStr">
        <is>
          <t>z(i)  = ( 그날 값 − 정상값 ) / σ</t>
        </is>
      </c>
    </row>
    <row r="15">
      <c r="A15" s="10" t="inlineStr">
        <is>
          <t>C⁻(i) = min( 0, C⁻(i−1) + z(i) + K )        ← 데이터 시트 C열은 그날 샷들의 최솟값</t>
        </is>
      </c>
    </row>
    <row r="16">
      <c r="A16" s="10" t="inlineStr">
        <is>
          <t>경보  ⟺  C⁻(i) &lt; −H</t>
        </is>
      </c>
    </row>
    <row r="17">
      <c r="A17" s="10" t="inlineStr"/>
    </row>
    <row r="18">
      <c r="A18" s="2" t="inlineStr">
        <is>
          <t>※ 데이터 시트의 누적합은 샷 단위로 계산한 뒤 하루의 최솟값을 취한 것이라,</t>
        </is>
      </c>
    </row>
    <row r="19">
      <c r="A19" s="2" t="inlineStr">
        <is>
          <t xml:space="preserve">   이 시트의 값만으로는 역산되지 않습니다. 원 계산은 trend_analysis.py.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7" customWidth="1" min="10" max="10"/>
  </cols>
  <sheetData>
    <row r="1">
      <c r="A1" s="11" t="inlineStr">
        <is>
          <t>날짜</t>
        </is>
      </c>
      <c r="B1" s="11" t="inlineStr">
        <is>
          <t>일평균 값</t>
        </is>
      </c>
      <c r="C1" s="11" t="inlineStr">
        <is>
          <t>누적합 C⁻</t>
        </is>
      </c>
      <c r="D1" s="11" t="inlineStr">
        <is>
          <t>샷 수</t>
        </is>
      </c>
      <c r="E1" s="11" t="inlineStr">
        <is>
          <t>정상값</t>
        </is>
      </c>
      <c r="F1" s="11" t="inlineStr">
        <is>
          <t>관리하한</t>
        </is>
      </c>
      <c r="G1" s="11" t="inlineStr">
        <is>
          <t>관리상한</t>
        </is>
      </c>
      <c r="H1" s="11" t="inlineStr">
        <is>
          <t>경보선 −H</t>
        </is>
      </c>
      <c r="I1" s="11" t="inlineStr">
        <is>
          <t>CUSUM 경보</t>
        </is>
      </c>
      <c r="J1" s="11" t="inlineStr">
        <is>
          <t>값이 관리한계 이탈</t>
        </is>
      </c>
    </row>
    <row r="2">
      <c r="A2" s="6" t="inlineStr">
        <is>
          <t>2026-01-01</t>
        </is>
      </c>
      <c r="B2" s="8" t="n">
        <v>9.962</v>
      </c>
      <c r="C2" s="12" t="n">
        <v>-0.7437</v>
      </c>
      <c r="D2" s="6" t="n">
        <v>7</v>
      </c>
      <c r="E2" s="13">
        <f>기준값!$B$4</f>
        <v/>
      </c>
      <c r="F2" s="13">
        <f>기준값!$B$10</f>
        <v/>
      </c>
      <c r="G2" s="13">
        <f>기준값!$B$9</f>
        <v/>
      </c>
      <c r="H2" s="14">
        <f>기준값!$B$11</f>
        <v/>
      </c>
      <c r="I2" s="15">
        <f>IF(C2&lt;H2,"경보","")</f>
        <v/>
      </c>
      <c r="J2" s="15">
        <f>IF(B2&lt;F2,"이탈","")</f>
        <v/>
      </c>
    </row>
    <row r="3">
      <c r="A3" s="6" t="inlineStr">
        <is>
          <t>2026-01-02</t>
        </is>
      </c>
      <c r="B3" s="8" t="n">
        <v>9.992599999999999</v>
      </c>
      <c r="C3" s="12" t="n">
        <v>0</v>
      </c>
      <c r="D3" s="6" t="n">
        <v>7</v>
      </c>
      <c r="E3" s="13">
        <f>기준값!$B$4</f>
        <v/>
      </c>
      <c r="F3" s="13">
        <f>기준값!$B$10</f>
        <v/>
      </c>
      <c r="G3" s="13">
        <f>기준값!$B$9</f>
        <v/>
      </c>
      <c r="H3" s="14">
        <f>기준값!$B$11</f>
        <v/>
      </c>
      <c r="I3" s="15">
        <f>IF(C3&lt;H3,"경보","")</f>
        <v/>
      </c>
      <c r="J3" s="15">
        <f>IF(B3&lt;F3,"이탈","")</f>
        <v/>
      </c>
    </row>
    <row r="4">
      <c r="A4" s="6" t="inlineStr">
        <is>
          <t>2026-01-03</t>
        </is>
      </c>
      <c r="B4" s="8" t="n">
        <v>9.991199999999999</v>
      </c>
      <c r="C4" s="12" t="n">
        <v>-0.2488</v>
      </c>
      <c r="D4" s="6" t="n">
        <v>9</v>
      </c>
      <c r="E4" s="13">
        <f>기준값!$B$4</f>
        <v/>
      </c>
      <c r="F4" s="13">
        <f>기준값!$B$10</f>
        <v/>
      </c>
      <c r="G4" s="13">
        <f>기준값!$B$9</f>
        <v/>
      </c>
      <c r="H4" s="14">
        <f>기준값!$B$11</f>
        <v/>
      </c>
      <c r="I4" s="15">
        <f>IF(C4&lt;H4,"경보","")</f>
        <v/>
      </c>
      <c r="J4" s="15">
        <f>IF(B4&lt;F4,"이탈","")</f>
        <v/>
      </c>
    </row>
    <row r="5">
      <c r="A5" s="6" t="inlineStr">
        <is>
          <t>2026-01-04</t>
        </is>
      </c>
      <c r="B5" s="8" t="n">
        <v>9.9993</v>
      </c>
      <c r="C5" s="12" t="n">
        <v>0</v>
      </c>
      <c r="D5" s="6" t="n">
        <v>6</v>
      </c>
      <c r="E5" s="13">
        <f>기준값!$B$4</f>
        <v/>
      </c>
      <c r="F5" s="13">
        <f>기준값!$B$10</f>
        <v/>
      </c>
      <c r="G5" s="13">
        <f>기준값!$B$9</f>
        <v/>
      </c>
      <c r="H5" s="14">
        <f>기준값!$B$11</f>
        <v/>
      </c>
      <c r="I5" s="15">
        <f>IF(C5&lt;H5,"경보","")</f>
        <v/>
      </c>
      <c r="J5" s="15">
        <f>IF(B5&lt;F5,"이탈","")</f>
        <v/>
      </c>
    </row>
    <row r="6">
      <c r="A6" s="6" t="inlineStr">
        <is>
          <t>2026-01-05</t>
        </is>
      </c>
      <c r="B6" s="8" t="n">
        <v>10.0895</v>
      </c>
      <c r="C6" s="12" t="n">
        <v>0</v>
      </c>
      <c r="D6" s="6" t="n">
        <v>2</v>
      </c>
      <c r="E6" s="13">
        <f>기준값!$B$4</f>
        <v/>
      </c>
      <c r="F6" s="13">
        <f>기준값!$B$10</f>
        <v/>
      </c>
      <c r="G6" s="13">
        <f>기준값!$B$9</f>
        <v/>
      </c>
      <c r="H6" s="14">
        <f>기준값!$B$11</f>
        <v/>
      </c>
      <c r="I6" s="15">
        <f>IF(C6&lt;H6,"경보","")</f>
        <v/>
      </c>
      <c r="J6" s="15">
        <f>IF(B6&lt;F6,"이탈","")</f>
        <v/>
      </c>
    </row>
    <row r="7">
      <c r="A7" s="6" t="inlineStr">
        <is>
          <t>2026-01-06</t>
        </is>
      </c>
      <c r="B7" s="8" t="n">
        <v>9.973699999999999</v>
      </c>
      <c r="C7" s="12" t="n">
        <v>0</v>
      </c>
      <c r="D7" s="6" t="n">
        <v>6</v>
      </c>
      <c r="E7" s="13">
        <f>기준값!$B$4</f>
        <v/>
      </c>
      <c r="F7" s="13">
        <f>기준값!$B$10</f>
        <v/>
      </c>
      <c r="G7" s="13">
        <f>기준값!$B$9</f>
        <v/>
      </c>
      <c r="H7" s="14">
        <f>기준값!$B$11</f>
        <v/>
      </c>
      <c r="I7" s="15">
        <f>IF(C7&lt;H7,"경보","")</f>
        <v/>
      </c>
      <c r="J7" s="15">
        <f>IF(B7&lt;F7,"이탈","")</f>
        <v/>
      </c>
    </row>
    <row r="8">
      <c r="A8" s="6" t="inlineStr">
        <is>
          <t>2026-01-07</t>
        </is>
      </c>
      <c r="B8" s="8" t="n">
        <v>10.01</v>
      </c>
      <c r="C8" s="12" t="n">
        <v>0</v>
      </c>
      <c r="D8" s="6" t="n">
        <v>4</v>
      </c>
      <c r="E8" s="13">
        <f>기준값!$B$4</f>
        <v/>
      </c>
      <c r="F8" s="13">
        <f>기준값!$B$10</f>
        <v/>
      </c>
      <c r="G8" s="13">
        <f>기준값!$B$9</f>
        <v/>
      </c>
      <c r="H8" s="14">
        <f>기준값!$B$11</f>
        <v/>
      </c>
      <c r="I8" s="15">
        <f>IF(C8&lt;H8,"경보","")</f>
        <v/>
      </c>
      <c r="J8" s="15">
        <f>IF(B8&lt;F8,"이탈","")</f>
        <v/>
      </c>
    </row>
    <row r="9">
      <c r="A9" s="6" t="inlineStr">
        <is>
          <t>2026-01-08</t>
        </is>
      </c>
      <c r="B9" s="8" t="n">
        <v>9.9937</v>
      </c>
      <c r="C9" s="12" t="n">
        <v>0</v>
      </c>
      <c r="D9" s="6" t="n">
        <v>3</v>
      </c>
      <c r="E9" s="13">
        <f>기준값!$B$4</f>
        <v/>
      </c>
      <c r="F9" s="13">
        <f>기준값!$B$10</f>
        <v/>
      </c>
      <c r="G9" s="13">
        <f>기준값!$B$9</f>
        <v/>
      </c>
      <c r="H9" s="14">
        <f>기준값!$B$11</f>
        <v/>
      </c>
      <c r="I9" s="15">
        <f>IF(C9&lt;H9,"경보","")</f>
        <v/>
      </c>
      <c r="J9" s="15">
        <f>IF(B9&lt;F9,"이탈","")</f>
        <v/>
      </c>
    </row>
    <row r="10">
      <c r="A10" s="6" t="inlineStr">
        <is>
          <t>2026-01-09</t>
        </is>
      </c>
      <c r="B10" s="8" t="n">
        <v>9.9833</v>
      </c>
      <c r="C10" s="12" t="n">
        <v>-0.104</v>
      </c>
      <c r="D10" s="6" t="n">
        <v>7</v>
      </c>
      <c r="E10" s="13">
        <f>기준값!$B$4</f>
        <v/>
      </c>
      <c r="F10" s="13">
        <f>기준값!$B$10</f>
        <v/>
      </c>
      <c r="G10" s="13">
        <f>기준값!$B$9</f>
        <v/>
      </c>
      <c r="H10" s="14">
        <f>기준값!$B$11</f>
        <v/>
      </c>
      <c r="I10" s="15">
        <f>IF(C10&lt;H10,"경보","")</f>
        <v/>
      </c>
      <c r="J10" s="15">
        <f>IF(B10&lt;F10,"이탈","")</f>
        <v/>
      </c>
    </row>
    <row r="11">
      <c r="A11" s="6" t="inlineStr">
        <is>
          <t>2026-01-10</t>
        </is>
      </c>
      <c r="B11" s="8" t="n">
        <v>10.003</v>
      </c>
      <c r="C11" s="12" t="n">
        <v>0</v>
      </c>
      <c r="D11" s="6" t="n">
        <v>5</v>
      </c>
      <c r="E11" s="13">
        <f>기준값!$B$4</f>
        <v/>
      </c>
      <c r="F11" s="13">
        <f>기준값!$B$10</f>
        <v/>
      </c>
      <c r="G11" s="13">
        <f>기준값!$B$9</f>
        <v/>
      </c>
      <c r="H11" s="14">
        <f>기준값!$B$11</f>
        <v/>
      </c>
      <c r="I11" s="15">
        <f>IF(C11&lt;H11,"경보","")</f>
        <v/>
      </c>
      <c r="J11" s="15">
        <f>IF(B11&lt;F11,"이탈","")</f>
        <v/>
      </c>
    </row>
    <row r="12">
      <c r="A12" s="6" t="inlineStr">
        <is>
          <t>2026-01-11</t>
        </is>
      </c>
      <c r="B12" s="8" t="n">
        <v>10.0707</v>
      </c>
      <c r="C12" s="12" t="n">
        <v>0</v>
      </c>
      <c r="D12" s="6" t="n">
        <v>3</v>
      </c>
      <c r="E12" s="13">
        <f>기준값!$B$4</f>
        <v/>
      </c>
      <c r="F12" s="13">
        <f>기준값!$B$10</f>
        <v/>
      </c>
      <c r="G12" s="13">
        <f>기준값!$B$9</f>
        <v/>
      </c>
      <c r="H12" s="14">
        <f>기준값!$B$11</f>
        <v/>
      </c>
      <c r="I12" s="15">
        <f>IF(C12&lt;H12,"경보","")</f>
        <v/>
      </c>
      <c r="J12" s="15">
        <f>IF(B12&lt;F12,"이탈","")</f>
        <v/>
      </c>
    </row>
    <row r="13">
      <c r="A13" s="6" t="inlineStr">
        <is>
          <t>2026-01-12</t>
        </is>
      </c>
      <c r="B13" s="8" t="n">
        <v>10.0018</v>
      </c>
      <c r="C13" s="12" t="n">
        <v>0</v>
      </c>
      <c r="D13" s="6" t="n">
        <v>4</v>
      </c>
      <c r="E13" s="13">
        <f>기준값!$B$4</f>
        <v/>
      </c>
      <c r="F13" s="13">
        <f>기준값!$B$10</f>
        <v/>
      </c>
      <c r="G13" s="13">
        <f>기준값!$B$9</f>
        <v/>
      </c>
      <c r="H13" s="14">
        <f>기준값!$B$11</f>
        <v/>
      </c>
      <c r="I13" s="15">
        <f>IF(C13&lt;H13,"경보","")</f>
        <v/>
      </c>
      <c r="J13" s="15">
        <f>IF(B13&lt;F13,"이탈","")</f>
        <v/>
      </c>
    </row>
    <row r="14">
      <c r="A14" s="6" t="inlineStr">
        <is>
          <t>2026-01-13</t>
        </is>
      </c>
      <c r="B14" s="8" t="n">
        <v>10.0178</v>
      </c>
      <c r="C14" s="12" t="n">
        <v>0</v>
      </c>
      <c r="D14" s="6" t="n">
        <v>5</v>
      </c>
      <c r="E14" s="13">
        <f>기준값!$B$4</f>
        <v/>
      </c>
      <c r="F14" s="13">
        <f>기준값!$B$10</f>
        <v/>
      </c>
      <c r="G14" s="13">
        <f>기준값!$B$9</f>
        <v/>
      </c>
      <c r="H14" s="14">
        <f>기준값!$B$11</f>
        <v/>
      </c>
      <c r="I14" s="15">
        <f>IF(C14&lt;H14,"경보","")</f>
        <v/>
      </c>
      <c r="J14" s="15">
        <f>IF(B14&lt;F14,"이탈","")</f>
        <v/>
      </c>
    </row>
    <row r="15">
      <c r="A15" s="6" t="inlineStr">
        <is>
          <t>2026-01-14</t>
        </is>
      </c>
      <c r="B15" s="8" t="n">
        <v>10.0067</v>
      </c>
      <c r="C15" s="12" t="n">
        <v>0</v>
      </c>
      <c r="D15" s="6" t="n">
        <v>6</v>
      </c>
      <c r="E15" s="13">
        <f>기준값!$B$4</f>
        <v/>
      </c>
      <c r="F15" s="13">
        <f>기준값!$B$10</f>
        <v/>
      </c>
      <c r="G15" s="13">
        <f>기준값!$B$9</f>
        <v/>
      </c>
      <c r="H15" s="14">
        <f>기준값!$B$11</f>
        <v/>
      </c>
      <c r="I15" s="15">
        <f>IF(C15&lt;H15,"경보","")</f>
        <v/>
      </c>
      <c r="J15" s="15">
        <f>IF(B15&lt;F15,"이탈","")</f>
        <v/>
      </c>
    </row>
    <row r="16">
      <c r="A16" s="6" t="inlineStr">
        <is>
          <t>2026-01-15</t>
        </is>
      </c>
      <c r="B16" s="8" t="n">
        <v>9.9618</v>
      </c>
      <c r="C16" s="12" t="n">
        <v>0</v>
      </c>
      <c r="D16" s="6" t="n">
        <v>4</v>
      </c>
      <c r="E16" s="13">
        <f>기준값!$B$4</f>
        <v/>
      </c>
      <c r="F16" s="13">
        <f>기준값!$B$10</f>
        <v/>
      </c>
      <c r="G16" s="13">
        <f>기준값!$B$9</f>
        <v/>
      </c>
      <c r="H16" s="14">
        <f>기준값!$B$11</f>
        <v/>
      </c>
      <c r="I16" s="15">
        <f>IF(C16&lt;H16,"경보","")</f>
        <v/>
      </c>
      <c r="J16" s="15">
        <f>IF(B16&lt;F16,"이탈","")</f>
        <v/>
      </c>
    </row>
    <row r="17">
      <c r="A17" s="6" t="inlineStr">
        <is>
          <t>2026-01-16</t>
        </is>
      </c>
      <c r="B17" s="8" t="n">
        <v>10.0042</v>
      </c>
      <c r="C17" s="12" t="n">
        <v>0</v>
      </c>
      <c r="D17" s="6" t="n">
        <v>5</v>
      </c>
      <c r="E17" s="13">
        <f>기준값!$B$4</f>
        <v/>
      </c>
      <c r="F17" s="13">
        <f>기준값!$B$10</f>
        <v/>
      </c>
      <c r="G17" s="13">
        <f>기준값!$B$9</f>
        <v/>
      </c>
      <c r="H17" s="14">
        <f>기준값!$B$11</f>
        <v/>
      </c>
      <c r="I17" s="15">
        <f>IF(C17&lt;H17,"경보","")</f>
        <v/>
      </c>
      <c r="J17" s="15">
        <f>IF(B17&lt;F17,"이탈","")</f>
        <v/>
      </c>
    </row>
    <row r="18">
      <c r="A18" s="6" t="inlineStr">
        <is>
          <t>2026-01-17</t>
        </is>
      </c>
      <c r="B18" s="8" t="n">
        <v>10.012</v>
      </c>
      <c r="C18" s="12" t="n">
        <v>-0.1402</v>
      </c>
      <c r="D18" s="6" t="n">
        <v>6</v>
      </c>
      <c r="E18" s="13">
        <f>기준값!$B$4</f>
        <v/>
      </c>
      <c r="F18" s="13">
        <f>기준값!$B$10</f>
        <v/>
      </c>
      <c r="G18" s="13">
        <f>기준값!$B$9</f>
        <v/>
      </c>
      <c r="H18" s="14">
        <f>기준값!$B$11</f>
        <v/>
      </c>
      <c r="I18" s="15">
        <f>IF(C18&lt;H18,"경보","")</f>
        <v/>
      </c>
      <c r="J18" s="15">
        <f>IF(B18&lt;F18,"이탈","")</f>
        <v/>
      </c>
    </row>
    <row r="19">
      <c r="A19" s="6" t="inlineStr">
        <is>
          <t>2026-01-18</t>
        </is>
      </c>
      <c r="B19" s="8" t="n">
        <v>9.9917</v>
      </c>
      <c r="C19" s="12" t="n">
        <v>-0.1885</v>
      </c>
      <c r="D19" s="6" t="n">
        <v>6</v>
      </c>
      <c r="E19" s="13">
        <f>기준값!$B$4</f>
        <v/>
      </c>
      <c r="F19" s="13">
        <f>기준값!$B$10</f>
        <v/>
      </c>
      <c r="G19" s="13">
        <f>기준값!$B$9</f>
        <v/>
      </c>
      <c r="H19" s="14">
        <f>기준값!$B$11</f>
        <v/>
      </c>
      <c r="I19" s="15">
        <f>IF(C19&lt;H19,"경보","")</f>
        <v/>
      </c>
      <c r="J19" s="15">
        <f>IF(B19&lt;F19,"이탈","")</f>
        <v/>
      </c>
    </row>
    <row r="20">
      <c r="A20" s="6" t="inlineStr">
        <is>
          <t>2026-01-19</t>
        </is>
      </c>
      <c r="B20" s="8" t="n">
        <v>10.0555</v>
      </c>
      <c r="C20" s="12" t="n">
        <v>0</v>
      </c>
      <c r="D20" s="6" t="n">
        <v>2</v>
      </c>
      <c r="E20" s="13">
        <f>기준값!$B$4</f>
        <v/>
      </c>
      <c r="F20" s="13">
        <f>기준값!$B$10</f>
        <v/>
      </c>
      <c r="G20" s="13">
        <f>기준값!$B$9</f>
        <v/>
      </c>
      <c r="H20" s="14">
        <f>기준값!$B$11</f>
        <v/>
      </c>
      <c r="I20" s="15">
        <f>IF(C20&lt;H20,"경보","")</f>
        <v/>
      </c>
      <c r="J20" s="15">
        <f>IF(B20&lt;F20,"이탈","")</f>
        <v/>
      </c>
    </row>
    <row r="21">
      <c r="A21" s="6" t="inlineStr">
        <is>
          <t>2026-01-20</t>
        </is>
      </c>
      <c r="B21" s="8" t="n">
        <v>10.007</v>
      </c>
      <c r="C21" s="12" t="n">
        <v>0</v>
      </c>
      <c r="D21" s="6" t="n">
        <v>3</v>
      </c>
      <c r="E21" s="13">
        <f>기준값!$B$4</f>
        <v/>
      </c>
      <c r="F21" s="13">
        <f>기준값!$B$10</f>
        <v/>
      </c>
      <c r="G21" s="13">
        <f>기준값!$B$9</f>
        <v/>
      </c>
      <c r="H21" s="14">
        <f>기준값!$B$11</f>
        <v/>
      </c>
      <c r="I21" s="15">
        <f>IF(C21&lt;H21,"경보","")</f>
        <v/>
      </c>
      <c r="J21" s="15">
        <f>IF(B21&lt;F21,"이탈","")</f>
        <v/>
      </c>
    </row>
    <row r="22">
      <c r="A22" s="6" t="inlineStr">
        <is>
          <t>2026-01-21</t>
        </is>
      </c>
      <c r="B22" s="8" t="n">
        <v>10.0203</v>
      </c>
      <c r="C22" s="12" t="n">
        <v>0</v>
      </c>
      <c r="D22" s="6" t="n">
        <v>4</v>
      </c>
      <c r="E22" s="13">
        <f>기준값!$B$4</f>
        <v/>
      </c>
      <c r="F22" s="13">
        <f>기준값!$B$10</f>
        <v/>
      </c>
      <c r="G22" s="13">
        <f>기준값!$B$9</f>
        <v/>
      </c>
      <c r="H22" s="14">
        <f>기준값!$B$11</f>
        <v/>
      </c>
      <c r="I22" s="15">
        <f>IF(C22&lt;H22,"경보","")</f>
        <v/>
      </c>
      <c r="J22" s="15">
        <f>IF(B22&lt;F22,"이탈","")</f>
        <v/>
      </c>
    </row>
    <row r="23">
      <c r="A23" s="6" t="inlineStr">
        <is>
          <t>2026-01-22</t>
        </is>
      </c>
      <c r="B23" s="8" t="n">
        <v>10.008</v>
      </c>
      <c r="C23" s="12" t="n">
        <v>0</v>
      </c>
      <c r="D23" s="6" t="n">
        <v>4</v>
      </c>
      <c r="E23" s="13">
        <f>기준값!$B$4</f>
        <v/>
      </c>
      <c r="F23" s="13">
        <f>기준값!$B$10</f>
        <v/>
      </c>
      <c r="G23" s="13">
        <f>기준값!$B$9</f>
        <v/>
      </c>
      <c r="H23" s="14">
        <f>기준값!$B$11</f>
        <v/>
      </c>
      <c r="I23" s="15">
        <f>IF(C23&lt;H23,"경보","")</f>
        <v/>
      </c>
      <c r="J23" s="15">
        <f>IF(B23&lt;F23,"이탈","")</f>
        <v/>
      </c>
    </row>
    <row r="24">
      <c r="A24" s="6" t="inlineStr">
        <is>
          <t>2026-01-23</t>
        </is>
      </c>
      <c r="B24" s="8" t="n">
        <v>9.9125</v>
      </c>
      <c r="C24" s="12" t="n">
        <v>-0.1718</v>
      </c>
      <c r="D24" s="6" t="n">
        <v>2</v>
      </c>
      <c r="E24" s="13">
        <f>기준값!$B$4</f>
        <v/>
      </c>
      <c r="F24" s="13">
        <f>기준값!$B$10</f>
        <v/>
      </c>
      <c r="G24" s="13">
        <f>기준값!$B$9</f>
        <v/>
      </c>
      <c r="H24" s="14">
        <f>기준값!$B$11</f>
        <v/>
      </c>
      <c r="I24" s="15">
        <f>IF(C24&lt;H24,"경보","")</f>
        <v/>
      </c>
      <c r="J24" s="15">
        <f>IF(B24&lt;F24,"이탈","")</f>
        <v/>
      </c>
    </row>
    <row r="25">
      <c r="A25" s="6" t="inlineStr">
        <is>
          <t>2026-01-24</t>
        </is>
      </c>
      <c r="B25" s="8" t="n">
        <v>10.032</v>
      </c>
      <c r="C25" s="12" t="n">
        <v>0</v>
      </c>
      <c r="D25" s="6" t="n">
        <v>4</v>
      </c>
      <c r="E25" s="13">
        <f>기준값!$B$4</f>
        <v/>
      </c>
      <c r="F25" s="13">
        <f>기준값!$B$10</f>
        <v/>
      </c>
      <c r="G25" s="13">
        <f>기준값!$B$9</f>
        <v/>
      </c>
      <c r="H25" s="14">
        <f>기준값!$B$11</f>
        <v/>
      </c>
      <c r="I25" s="15">
        <f>IF(C25&lt;H25,"경보","")</f>
        <v/>
      </c>
      <c r="J25" s="15">
        <f>IF(B25&lt;F25,"이탈","")</f>
        <v/>
      </c>
    </row>
    <row r="26">
      <c r="A26" s="6" t="inlineStr">
        <is>
          <t>2026-01-25</t>
        </is>
      </c>
      <c r="B26" s="8" t="n">
        <v>10.0162</v>
      </c>
      <c r="C26" s="12" t="n">
        <v>0</v>
      </c>
      <c r="D26" s="6" t="n">
        <v>5</v>
      </c>
      <c r="E26" s="13">
        <f>기준값!$B$4</f>
        <v/>
      </c>
      <c r="F26" s="13">
        <f>기준값!$B$10</f>
        <v/>
      </c>
      <c r="G26" s="13">
        <f>기준값!$B$9</f>
        <v/>
      </c>
      <c r="H26" s="14">
        <f>기준값!$B$11</f>
        <v/>
      </c>
      <c r="I26" s="15">
        <f>IF(C26&lt;H26,"경보","")</f>
        <v/>
      </c>
      <c r="J26" s="15">
        <f>IF(B26&lt;F26,"이탈","")</f>
        <v/>
      </c>
    </row>
    <row r="27">
      <c r="A27" s="6" t="inlineStr">
        <is>
          <t>2026-01-26</t>
        </is>
      </c>
      <c r="B27" s="8" t="n">
        <v>10.0217</v>
      </c>
      <c r="C27" s="12" t="n">
        <v>0</v>
      </c>
      <c r="D27" s="6" t="n">
        <v>3</v>
      </c>
      <c r="E27" s="13">
        <f>기준값!$B$4</f>
        <v/>
      </c>
      <c r="F27" s="13">
        <f>기준값!$B$10</f>
        <v/>
      </c>
      <c r="G27" s="13">
        <f>기준값!$B$9</f>
        <v/>
      </c>
      <c r="H27" s="14">
        <f>기준값!$B$11</f>
        <v/>
      </c>
      <c r="I27" s="15">
        <f>IF(C27&lt;H27,"경보","")</f>
        <v/>
      </c>
      <c r="J27" s="15">
        <f>IF(B27&lt;F27,"이탈","")</f>
        <v/>
      </c>
    </row>
    <row r="28">
      <c r="A28" s="6" t="inlineStr">
        <is>
          <t>2026-01-27</t>
        </is>
      </c>
      <c r="B28" s="8" t="n">
        <v>9.995200000000001</v>
      </c>
      <c r="C28" s="12" t="n">
        <v>-0.273</v>
      </c>
      <c r="D28" s="6" t="n">
        <v>6</v>
      </c>
      <c r="E28" s="13">
        <f>기준값!$B$4</f>
        <v/>
      </c>
      <c r="F28" s="13">
        <f>기준값!$B$10</f>
        <v/>
      </c>
      <c r="G28" s="13">
        <f>기준값!$B$9</f>
        <v/>
      </c>
      <c r="H28" s="14">
        <f>기준값!$B$11</f>
        <v/>
      </c>
      <c r="I28" s="15">
        <f>IF(C28&lt;H28,"경보","")</f>
        <v/>
      </c>
      <c r="J28" s="15">
        <f>IF(B28&lt;F28,"이탈","")</f>
        <v/>
      </c>
    </row>
    <row r="29">
      <c r="A29" s="6" t="inlineStr">
        <is>
          <t>2026-01-28</t>
        </is>
      </c>
      <c r="B29" s="8" t="n">
        <v>10.0157</v>
      </c>
      <c r="C29" s="12" t="n">
        <v>0</v>
      </c>
      <c r="D29" s="6" t="n">
        <v>6</v>
      </c>
      <c r="E29" s="13">
        <f>기준값!$B$4</f>
        <v/>
      </c>
      <c r="F29" s="13">
        <f>기준값!$B$10</f>
        <v/>
      </c>
      <c r="G29" s="13">
        <f>기준값!$B$9</f>
        <v/>
      </c>
      <c r="H29" s="14">
        <f>기준값!$B$11</f>
        <v/>
      </c>
      <c r="I29" s="15">
        <f>IF(C29&lt;H29,"경보","")</f>
        <v/>
      </c>
      <c r="J29" s="15">
        <f>IF(B29&lt;F29,"이탈","")</f>
        <v/>
      </c>
    </row>
    <row r="30">
      <c r="A30" s="6" t="inlineStr">
        <is>
          <t>2026-01-29</t>
        </is>
      </c>
      <c r="B30" s="8" t="n">
        <v>9.9831</v>
      </c>
      <c r="C30" s="12" t="n">
        <v>-0.1402</v>
      </c>
      <c r="D30" s="6" t="n">
        <v>8</v>
      </c>
      <c r="E30" s="13">
        <f>기준값!$B$4</f>
        <v/>
      </c>
      <c r="F30" s="13">
        <f>기준값!$B$10</f>
        <v/>
      </c>
      <c r="G30" s="13">
        <f>기준값!$B$9</f>
        <v/>
      </c>
      <c r="H30" s="14">
        <f>기준값!$B$11</f>
        <v/>
      </c>
      <c r="I30" s="15">
        <f>IF(C30&lt;H30,"경보","")</f>
        <v/>
      </c>
      <c r="J30" s="15">
        <f>IF(B30&lt;F30,"이탈","")</f>
        <v/>
      </c>
    </row>
    <row r="31">
      <c r="A31" s="6" t="inlineStr">
        <is>
          <t>2026-01-30</t>
        </is>
      </c>
      <c r="B31" s="8" t="n">
        <v>10.0263</v>
      </c>
      <c r="C31" s="12" t="n">
        <v>0</v>
      </c>
      <c r="D31" s="6" t="n">
        <v>4</v>
      </c>
      <c r="E31" s="13">
        <f>기준값!$B$4</f>
        <v/>
      </c>
      <c r="F31" s="13">
        <f>기준값!$B$10</f>
        <v/>
      </c>
      <c r="G31" s="13">
        <f>기준값!$B$9</f>
        <v/>
      </c>
      <c r="H31" s="14">
        <f>기준값!$B$11</f>
        <v/>
      </c>
      <c r="I31" s="15">
        <f>IF(C31&lt;H31,"경보","")</f>
        <v/>
      </c>
      <c r="J31" s="15">
        <f>IF(B31&lt;F31,"이탈","")</f>
        <v/>
      </c>
    </row>
    <row r="32">
      <c r="A32" s="6" t="inlineStr">
        <is>
          <t>2026-01-31</t>
        </is>
      </c>
      <c r="B32" s="8" t="n">
        <v>9.995100000000001</v>
      </c>
      <c r="C32" s="12" t="n">
        <v>-0.2126</v>
      </c>
      <c r="D32" s="6" t="n">
        <v>12</v>
      </c>
      <c r="E32" s="13">
        <f>기준값!$B$4</f>
        <v/>
      </c>
      <c r="F32" s="13">
        <f>기준값!$B$10</f>
        <v/>
      </c>
      <c r="G32" s="13">
        <f>기준값!$B$9</f>
        <v/>
      </c>
      <c r="H32" s="14">
        <f>기준값!$B$11</f>
        <v/>
      </c>
      <c r="I32" s="15">
        <f>IF(C32&lt;H32,"경보","")</f>
        <v/>
      </c>
      <c r="J32" s="15">
        <f>IF(B32&lt;F32,"이탈","")</f>
        <v/>
      </c>
    </row>
    <row r="33">
      <c r="A33" s="6" t="inlineStr">
        <is>
          <t>2026-02-01</t>
        </is>
      </c>
      <c r="B33" s="8" t="n">
        <v>9.9894</v>
      </c>
      <c r="C33" s="12" t="n">
        <v>0</v>
      </c>
      <c r="D33" s="6" t="n">
        <v>5</v>
      </c>
      <c r="E33" s="13">
        <f>기준값!$B$4</f>
        <v/>
      </c>
      <c r="F33" s="13">
        <f>기준값!$B$10</f>
        <v/>
      </c>
      <c r="G33" s="13">
        <f>기준값!$B$9</f>
        <v/>
      </c>
      <c r="H33" s="14">
        <f>기준값!$B$11</f>
        <v/>
      </c>
      <c r="I33" s="15">
        <f>IF(C33&lt;H33,"경보","")</f>
        <v/>
      </c>
      <c r="J33" s="15">
        <f>IF(B33&lt;F33,"이탈","")</f>
        <v/>
      </c>
    </row>
    <row r="34">
      <c r="A34" s="6" t="inlineStr">
        <is>
          <t>2026-02-02</t>
        </is>
      </c>
      <c r="B34" s="8" t="n">
        <v>10.0143</v>
      </c>
      <c r="C34" s="12" t="n">
        <v>0</v>
      </c>
      <c r="D34" s="6" t="n">
        <v>3</v>
      </c>
      <c r="E34" s="13">
        <f>기준값!$B$4</f>
        <v/>
      </c>
      <c r="F34" s="13">
        <f>기준값!$B$10</f>
        <v/>
      </c>
      <c r="G34" s="13">
        <f>기준값!$B$9</f>
        <v/>
      </c>
      <c r="H34" s="14">
        <f>기준값!$B$11</f>
        <v/>
      </c>
      <c r="I34" s="15">
        <f>IF(C34&lt;H34,"경보","")</f>
        <v/>
      </c>
      <c r="J34" s="15">
        <f>IF(B34&lt;F34,"이탈","")</f>
        <v/>
      </c>
    </row>
    <row r="35">
      <c r="A35" s="6" t="inlineStr">
        <is>
          <t>2026-02-03</t>
        </is>
      </c>
      <c r="B35" s="8" t="n">
        <v>9.9963</v>
      </c>
      <c r="C35" s="12" t="n">
        <v>0</v>
      </c>
      <c r="D35" s="6" t="n">
        <v>7</v>
      </c>
      <c r="E35" s="13">
        <f>기준값!$B$4</f>
        <v/>
      </c>
      <c r="F35" s="13">
        <f>기준값!$B$10</f>
        <v/>
      </c>
      <c r="G35" s="13">
        <f>기준값!$B$9</f>
        <v/>
      </c>
      <c r="H35" s="14">
        <f>기준값!$B$11</f>
        <v/>
      </c>
      <c r="I35" s="15">
        <f>IF(C35&lt;H35,"경보","")</f>
        <v/>
      </c>
      <c r="J35" s="15">
        <f>IF(B35&lt;F35,"이탈","")</f>
        <v/>
      </c>
    </row>
    <row r="36">
      <c r="A36" s="6" t="inlineStr">
        <is>
          <t>2026-02-04</t>
        </is>
      </c>
      <c r="B36" s="8" t="n">
        <v>9.997400000000001</v>
      </c>
      <c r="C36" s="12" t="n">
        <v>0</v>
      </c>
      <c r="D36" s="6" t="n">
        <v>7</v>
      </c>
      <c r="E36" s="13">
        <f>기준값!$B$4</f>
        <v/>
      </c>
      <c r="F36" s="13">
        <f>기준값!$B$10</f>
        <v/>
      </c>
      <c r="G36" s="13">
        <f>기준값!$B$9</f>
        <v/>
      </c>
      <c r="H36" s="14">
        <f>기준값!$B$11</f>
        <v/>
      </c>
      <c r="I36" s="15">
        <f>IF(C36&lt;H36,"경보","")</f>
        <v/>
      </c>
      <c r="J36" s="15">
        <f>IF(B36&lt;F36,"이탈","")</f>
        <v/>
      </c>
    </row>
    <row r="37">
      <c r="A37" s="6" t="inlineStr">
        <is>
          <t>2026-02-05</t>
        </is>
      </c>
      <c r="B37" s="8" t="n">
        <v>9.983000000000001</v>
      </c>
      <c r="C37" s="12" t="n">
        <v>0</v>
      </c>
      <c r="D37" s="6" t="n">
        <v>5</v>
      </c>
      <c r="E37" s="13">
        <f>기준값!$B$4</f>
        <v/>
      </c>
      <c r="F37" s="13">
        <f>기준값!$B$10</f>
        <v/>
      </c>
      <c r="G37" s="13">
        <f>기준값!$B$9</f>
        <v/>
      </c>
      <c r="H37" s="14">
        <f>기준값!$B$11</f>
        <v/>
      </c>
      <c r="I37" s="15">
        <f>IF(C37&lt;H37,"경보","")</f>
        <v/>
      </c>
      <c r="J37" s="15">
        <f>IF(B37&lt;F37,"이탈","")</f>
        <v/>
      </c>
    </row>
    <row r="38">
      <c r="A38" s="6" t="inlineStr">
        <is>
          <t>2026-02-06</t>
        </is>
      </c>
      <c r="B38" s="8" t="n">
        <v>9.9694</v>
      </c>
      <c r="C38" s="12" t="n">
        <v>-0.3092</v>
      </c>
      <c r="D38" s="6" t="n">
        <v>5</v>
      </c>
      <c r="E38" s="13">
        <f>기준값!$B$4</f>
        <v/>
      </c>
      <c r="F38" s="13">
        <f>기준값!$B$10</f>
        <v/>
      </c>
      <c r="G38" s="13">
        <f>기준값!$B$9</f>
        <v/>
      </c>
      <c r="H38" s="14">
        <f>기준값!$B$11</f>
        <v/>
      </c>
      <c r="I38" s="15">
        <f>IF(C38&lt;H38,"경보","")</f>
        <v/>
      </c>
      <c r="J38" s="15">
        <f>IF(B38&lt;F38,"이탈","")</f>
        <v/>
      </c>
    </row>
    <row r="39">
      <c r="A39" s="6" t="inlineStr">
        <is>
          <t>2026-02-07</t>
        </is>
      </c>
      <c r="B39" s="8" t="n">
        <v>10.028</v>
      </c>
      <c r="C39" s="12" t="n">
        <v>0</v>
      </c>
      <c r="D39" s="6" t="n">
        <v>5</v>
      </c>
      <c r="E39" s="13">
        <f>기준값!$B$4</f>
        <v/>
      </c>
      <c r="F39" s="13">
        <f>기준값!$B$10</f>
        <v/>
      </c>
      <c r="G39" s="13">
        <f>기준값!$B$9</f>
        <v/>
      </c>
      <c r="H39" s="14">
        <f>기준값!$B$11</f>
        <v/>
      </c>
      <c r="I39" s="15">
        <f>IF(C39&lt;H39,"경보","")</f>
        <v/>
      </c>
      <c r="J39" s="15">
        <f>IF(B39&lt;F39,"이탈","")</f>
        <v/>
      </c>
    </row>
    <row r="40">
      <c r="A40" s="6" t="inlineStr">
        <is>
          <t>2026-02-08</t>
        </is>
      </c>
      <c r="B40" s="8" t="n">
        <v>9.9697</v>
      </c>
      <c r="C40" s="12" t="n">
        <v>0</v>
      </c>
      <c r="D40" s="6" t="n">
        <v>3</v>
      </c>
      <c r="E40" s="13">
        <f>기준값!$B$4</f>
        <v/>
      </c>
      <c r="F40" s="13">
        <f>기준값!$B$10</f>
        <v/>
      </c>
      <c r="G40" s="13">
        <f>기준값!$B$9</f>
        <v/>
      </c>
      <c r="H40" s="14">
        <f>기준값!$B$11</f>
        <v/>
      </c>
      <c r="I40" s="15">
        <f>IF(C40&lt;H40,"경보","")</f>
        <v/>
      </c>
      <c r="J40" s="15">
        <f>IF(B40&lt;F40,"이탈","")</f>
        <v/>
      </c>
    </row>
    <row r="41">
      <c r="A41" s="6" t="inlineStr">
        <is>
          <t>2026-02-09</t>
        </is>
      </c>
      <c r="B41" s="8" t="n">
        <v>9.997400000000001</v>
      </c>
      <c r="C41" s="12" t="n">
        <v>0</v>
      </c>
      <c r="D41" s="6" t="n">
        <v>7</v>
      </c>
      <c r="E41" s="13">
        <f>기준값!$B$4</f>
        <v/>
      </c>
      <c r="F41" s="13">
        <f>기준값!$B$10</f>
        <v/>
      </c>
      <c r="G41" s="13">
        <f>기준값!$B$9</f>
        <v/>
      </c>
      <c r="H41" s="14">
        <f>기준값!$B$11</f>
        <v/>
      </c>
      <c r="I41" s="15">
        <f>IF(C41&lt;H41,"경보","")</f>
        <v/>
      </c>
      <c r="J41" s="15">
        <f>IF(B41&lt;F41,"이탈","")</f>
        <v/>
      </c>
    </row>
    <row r="42">
      <c r="A42" s="6" t="inlineStr">
        <is>
          <t>2026-02-10</t>
        </is>
      </c>
      <c r="B42" s="8" t="n">
        <v>10.0001</v>
      </c>
      <c r="C42" s="12" t="n">
        <v>-0.454</v>
      </c>
      <c r="D42" s="6" t="n">
        <v>7</v>
      </c>
      <c r="E42" s="13">
        <f>기준값!$B$4</f>
        <v/>
      </c>
      <c r="F42" s="13">
        <f>기준값!$B$10</f>
        <v/>
      </c>
      <c r="G42" s="13">
        <f>기준값!$B$9</f>
        <v/>
      </c>
      <c r="H42" s="14">
        <f>기준값!$B$11</f>
        <v/>
      </c>
      <c r="I42" s="15">
        <f>IF(C42&lt;H42,"경보","")</f>
        <v/>
      </c>
      <c r="J42" s="15">
        <f>IF(B42&lt;F42,"이탈","")</f>
        <v/>
      </c>
    </row>
    <row r="43">
      <c r="A43" s="6" t="inlineStr">
        <is>
          <t>2026-02-11</t>
        </is>
      </c>
      <c r="B43" s="8" t="n">
        <v>10.0004</v>
      </c>
      <c r="C43" s="12" t="n">
        <v>0</v>
      </c>
      <c r="D43" s="6" t="n">
        <v>5</v>
      </c>
      <c r="E43" s="13">
        <f>기준값!$B$4</f>
        <v/>
      </c>
      <c r="F43" s="13">
        <f>기준값!$B$10</f>
        <v/>
      </c>
      <c r="G43" s="13">
        <f>기준값!$B$9</f>
        <v/>
      </c>
      <c r="H43" s="14">
        <f>기준값!$B$11</f>
        <v/>
      </c>
      <c r="I43" s="15">
        <f>IF(C43&lt;H43,"경보","")</f>
        <v/>
      </c>
      <c r="J43" s="15">
        <f>IF(B43&lt;F43,"이탈","")</f>
        <v/>
      </c>
    </row>
    <row r="44">
      <c r="A44" s="6" t="inlineStr">
        <is>
          <t>2026-02-12</t>
        </is>
      </c>
      <c r="B44" s="8" t="n">
        <v>9.9656</v>
      </c>
      <c r="C44" s="12" t="n">
        <v>-0.8161</v>
      </c>
      <c r="D44" s="6" t="n">
        <v>9</v>
      </c>
      <c r="E44" s="13">
        <f>기준값!$B$4</f>
        <v/>
      </c>
      <c r="F44" s="13">
        <f>기준값!$B$10</f>
        <v/>
      </c>
      <c r="G44" s="13">
        <f>기준값!$B$9</f>
        <v/>
      </c>
      <c r="H44" s="14">
        <f>기준값!$B$11</f>
        <v/>
      </c>
      <c r="I44" s="15">
        <f>IF(C44&lt;H44,"경보","")</f>
        <v/>
      </c>
      <c r="J44" s="15">
        <f>IF(B44&lt;F44,"이탈","")</f>
        <v/>
      </c>
    </row>
    <row r="45">
      <c r="A45" s="6" t="inlineStr">
        <is>
          <t>2026-02-13</t>
        </is>
      </c>
      <c r="B45" s="8" t="n">
        <v>9.987</v>
      </c>
      <c r="C45" s="12" t="n">
        <v>-0.0195</v>
      </c>
      <c r="D45" s="6" t="n">
        <v>2</v>
      </c>
      <c r="E45" s="13">
        <f>기준값!$B$4</f>
        <v/>
      </c>
      <c r="F45" s="13">
        <f>기준값!$B$10</f>
        <v/>
      </c>
      <c r="G45" s="13">
        <f>기준값!$B$9</f>
        <v/>
      </c>
      <c r="H45" s="14">
        <f>기준값!$B$11</f>
        <v/>
      </c>
      <c r="I45" s="15">
        <f>IF(C45&lt;H45,"경보","")</f>
        <v/>
      </c>
      <c r="J45" s="15">
        <f>IF(B45&lt;F45,"이탈","")</f>
        <v/>
      </c>
    </row>
    <row r="46">
      <c r="A46" s="6" t="inlineStr">
        <is>
          <t>2026-02-14</t>
        </is>
      </c>
      <c r="B46" s="8" t="n">
        <v>9.9961</v>
      </c>
      <c r="C46" s="12" t="n">
        <v>0</v>
      </c>
      <c r="D46" s="6" t="n">
        <v>8</v>
      </c>
      <c r="E46" s="13">
        <f>기준값!$B$4</f>
        <v/>
      </c>
      <c r="F46" s="13">
        <f>기준값!$B$10</f>
        <v/>
      </c>
      <c r="G46" s="13">
        <f>기준값!$B$9</f>
        <v/>
      </c>
      <c r="H46" s="14">
        <f>기준값!$B$11</f>
        <v/>
      </c>
      <c r="I46" s="15">
        <f>IF(C46&lt;H46,"경보","")</f>
        <v/>
      </c>
      <c r="J46" s="15">
        <f>IF(B46&lt;F46,"이탈","")</f>
        <v/>
      </c>
    </row>
    <row r="47">
      <c r="A47" s="6" t="inlineStr">
        <is>
          <t>2026-02-15</t>
        </is>
      </c>
      <c r="B47" s="8" t="n">
        <v>10.0012</v>
      </c>
      <c r="C47" s="12" t="n">
        <v>0</v>
      </c>
      <c r="D47" s="6" t="n">
        <v>5</v>
      </c>
      <c r="E47" s="13">
        <f>기준값!$B$4</f>
        <v/>
      </c>
      <c r="F47" s="13">
        <f>기준값!$B$10</f>
        <v/>
      </c>
      <c r="G47" s="13">
        <f>기준값!$B$9</f>
        <v/>
      </c>
      <c r="H47" s="14">
        <f>기준값!$B$11</f>
        <v/>
      </c>
      <c r="I47" s="15">
        <f>IF(C47&lt;H47,"경보","")</f>
        <v/>
      </c>
      <c r="J47" s="15">
        <f>IF(B47&lt;F47,"이탈","")</f>
        <v/>
      </c>
    </row>
    <row r="48">
      <c r="A48" s="6" t="inlineStr">
        <is>
          <t>2026-02-16</t>
        </is>
      </c>
      <c r="B48" s="8" t="n">
        <v>9.9755</v>
      </c>
      <c r="C48" s="12" t="n">
        <v>0</v>
      </c>
      <c r="D48" s="6" t="n">
        <v>2</v>
      </c>
      <c r="E48" s="13">
        <f>기준값!$B$4</f>
        <v/>
      </c>
      <c r="F48" s="13">
        <f>기준값!$B$10</f>
        <v/>
      </c>
      <c r="G48" s="13">
        <f>기준값!$B$9</f>
        <v/>
      </c>
      <c r="H48" s="14">
        <f>기준값!$B$11</f>
        <v/>
      </c>
      <c r="I48" s="15">
        <f>IF(C48&lt;H48,"경보","")</f>
        <v/>
      </c>
      <c r="J48" s="15">
        <f>IF(B48&lt;F48,"이탈","")</f>
        <v/>
      </c>
    </row>
    <row r="49">
      <c r="A49" s="6" t="inlineStr">
        <is>
          <t>2026-02-17</t>
        </is>
      </c>
      <c r="B49" s="8" t="n">
        <v>9.9557</v>
      </c>
      <c r="C49" s="12" t="n">
        <v>-0.027</v>
      </c>
      <c r="D49" s="6" t="n">
        <v>6</v>
      </c>
      <c r="E49" s="13">
        <f>기준값!$B$4</f>
        <v/>
      </c>
      <c r="F49" s="13">
        <f>기준값!$B$10</f>
        <v/>
      </c>
      <c r="G49" s="13">
        <f>기준값!$B$9</f>
        <v/>
      </c>
      <c r="H49" s="14">
        <f>기준값!$B$11</f>
        <v/>
      </c>
      <c r="I49" s="15">
        <f>IF(C49&lt;H49,"경보","")</f>
        <v/>
      </c>
      <c r="J49" s="15">
        <f>IF(B49&lt;F49,"이탈","")</f>
        <v/>
      </c>
    </row>
    <row r="50">
      <c r="A50" s="6" t="inlineStr">
        <is>
          <t>2026-02-18</t>
        </is>
      </c>
      <c r="B50" s="8" t="n">
        <v>9.94</v>
      </c>
      <c r="C50" s="12" t="n">
        <v>0</v>
      </c>
      <c r="D50" s="6" t="n">
        <v>2</v>
      </c>
      <c r="E50" s="13">
        <f>기준값!$B$4</f>
        <v/>
      </c>
      <c r="F50" s="13">
        <f>기준값!$B$10</f>
        <v/>
      </c>
      <c r="G50" s="13">
        <f>기준값!$B$9</f>
        <v/>
      </c>
      <c r="H50" s="14">
        <f>기준값!$B$11</f>
        <v/>
      </c>
      <c r="I50" s="15">
        <f>IF(C50&lt;H50,"경보","")</f>
        <v/>
      </c>
      <c r="J50" s="15">
        <f>IF(B50&lt;F50,"이탈","")</f>
        <v/>
      </c>
    </row>
    <row r="51">
      <c r="A51" s="6" t="inlineStr">
        <is>
          <t>2026-02-19</t>
        </is>
      </c>
      <c r="B51" s="8" t="n">
        <v>9.950900000000001</v>
      </c>
      <c r="C51" s="12" t="n">
        <v>-0.2126</v>
      </c>
      <c r="D51" s="6" t="n">
        <v>9</v>
      </c>
      <c r="E51" s="13">
        <f>기준값!$B$4</f>
        <v/>
      </c>
      <c r="F51" s="13">
        <f>기준값!$B$10</f>
        <v/>
      </c>
      <c r="G51" s="13">
        <f>기준값!$B$9</f>
        <v/>
      </c>
      <c r="H51" s="14">
        <f>기준값!$B$11</f>
        <v/>
      </c>
      <c r="I51" s="15">
        <f>IF(C51&lt;H51,"경보","")</f>
        <v/>
      </c>
      <c r="J51" s="15">
        <f>IF(B51&lt;F51,"이탈","")</f>
        <v/>
      </c>
    </row>
    <row r="52">
      <c r="A52" s="6" t="inlineStr">
        <is>
          <t>2026-02-20</t>
        </is>
      </c>
      <c r="B52" s="8" t="n">
        <v>9.940799999999999</v>
      </c>
      <c r="C52" s="12" t="n">
        <v>-0.3241</v>
      </c>
      <c r="D52" s="6" t="n">
        <v>4</v>
      </c>
      <c r="E52" s="13">
        <f>기준값!$B$4</f>
        <v/>
      </c>
      <c r="F52" s="13">
        <f>기준값!$B$10</f>
        <v/>
      </c>
      <c r="G52" s="13">
        <f>기준값!$B$9</f>
        <v/>
      </c>
      <c r="H52" s="14">
        <f>기준값!$B$11</f>
        <v/>
      </c>
      <c r="I52" s="15">
        <f>IF(C52&lt;H52,"경보","")</f>
        <v/>
      </c>
      <c r="J52" s="15">
        <f>IF(B52&lt;F52,"이탈","")</f>
        <v/>
      </c>
    </row>
    <row r="53">
      <c r="A53" s="6" t="inlineStr">
        <is>
          <t>2026-02-21</t>
        </is>
      </c>
      <c r="B53" s="8" t="n">
        <v>9.9512</v>
      </c>
      <c r="C53" s="12" t="n">
        <v>-0.1402</v>
      </c>
      <c r="D53" s="6" t="n">
        <v>5</v>
      </c>
      <c r="E53" s="13">
        <f>기준값!$B$4</f>
        <v/>
      </c>
      <c r="F53" s="13">
        <f>기준값!$B$10</f>
        <v/>
      </c>
      <c r="G53" s="13">
        <f>기준값!$B$9</f>
        <v/>
      </c>
      <c r="H53" s="14">
        <f>기준값!$B$11</f>
        <v/>
      </c>
      <c r="I53" s="15">
        <f>IF(C53&lt;H53,"경보","")</f>
        <v/>
      </c>
      <c r="J53" s="15">
        <f>IF(B53&lt;F53,"이탈","")</f>
        <v/>
      </c>
    </row>
    <row r="54">
      <c r="A54" s="6" t="inlineStr">
        <is>
          <t>2026-02-22</t>
        </is>
      </c>
      <c r="B54" s="8" t="n">
        <v>9.912800000000001</v>
      </c>
      <c r="C54" s="12" t="n">
        <v>-0.9517</v>
      </c>
      <c r="D54" s="6" t="n">
        <v>5</v>
      </c>
      <c r="E54" s="13">
        <f>기준값!$B$4</f>
        <v/>
      </c>
      <c r="F54" s="13">
        <f>기준값!$B$10</f>
        <v/>
      </c>
      <c r="G54" s="13">
        <f>기준값!$B$9</f>
        <v/>
      </c>
      <c r="H54" s="14">
        <f>기준값!$B$11</f>
        <v/>
      </c>
      <c r="I54" s="15">
        <f>IF(C54&lt;H54,"경보","")</f>
        <v/>
      </c>
      <c r="J54" s="15">
        <f>IF(B54&lt;F54,"이탈","")</f>
        <v/>
      </c>
    </row>
    <row r="55">
      <c r="A55" s="16" t="inlineStr">
        <is>
          <t>2026-02-23</t>
        </is>
      </c>
      <c r="B55" s="17" t="n">
        <v>9.871600000000001</v>
      </c>
      <c r="C55" s="18" t="n">
        <v>-4.6682</v>
      </c>
      <c r="D55" s="16" t="n">
        <v>7</v>
      </c>
      <c r="E55" s="19">
        <f>기준값!$B$4</f>
        <v/>
      </c>
      <c r="F55" s="19">
        <f>기준값!$B$10</f>
        <v/>
      </c>
      <c r="G55" s="19">
        <f>기준값!$B$9</f>
        <v/>
      </c>
      <c r="H55" s="20">
        <f>기준값!$B$11</f>
        <v/>
      </c>
      <c r="I55" s="21">
        <f>IF(C55&lt;H55,"경보","")</f>
        <v/>
      </c>
      <c r="J55" s="21">
        <f>IF(B55&lt;F55,"이탈","")</f>
        <v/>
      </c>
    </row>
    <row r="56">
      <c r="A56" s="16" t="inlineStr">
        <is>
          <t>2026-02-24</t>
        </is>
      </c>
      <c r="B56" s="17" t="n">
        <v>9.908300000000001</v>
      </c>
      <c r="C56" s="18" t="n">
        <v>-5.2624</v>
      </c>
      <c r="D56" s="16" t="n">
        <v>3</v>
      </c>
      <c r="E56" s="19">
        <f>기준값!$B$4</f>
        <v/>
      </c>
      <c r="F56" s="19">
        <f>기준값!$B$10</f>
        <v/>
      </c>
      <c r="G56" s="19">
        <f>기준값!$B$9</f>
        <v/>
      </c>
      <c r="H56" s="20">
        <f>기준값!$B$11</f>
        <v/>
      </c>
      <c r="I56" s="21">
        <f>IF(C56&lt;H56,"경보","")</f>
        <v/>
      </c>
      <c r="J56" s="21">
        <f>IF(B56&lt;F56,"이탈","")</f>
        <v/>
      </c>
    </row>
    <row r="57">
      <c r="A57" s="16" t="inlineStr">
        <is>
          <t>2026-02-25</t>
        </is>
      </c>
      <c r="B57" s="17" t="n">
        <v>9.841200000000001</v>
      </c>
      <c r="C57" s="18" t="n">
        <v>-12.6433</v>
      </c>
      <c r="D57" s="16" t="n">
        <v>8</v>
      </c>
      <c r="E57" s="19">
        <f>기준값!$B$4</f>
        <v/>
      </c>
      <c r="F57" s="19">
        <f>기준값!$B$10</f>
        <v/>
      </c>
      <c r="G57" s="19">
        <f>기준값!$B$9</f>
        <v/>
      </c>
      <c r="H57" s="20">
        <f>기준값!$B$11</f>
        <v/>
      </c>
      <c r="I57" s="21">
        <f>IF(C57&lt;H57,"경보","")</f>
        <v/>
      </c>
      <c r="J57" s="21">
        <f>IF(B57&lt;F57,"이탈","")</f>
        <v/>
      </c>
    </row>
    <row r="58">
      <c r="A58" s="16" t="inlineStr">
        <is>
          <t>2026-02-26</t>
        </is>
      </c>
      <c r="B58" s="17" t="n">
        <v>9.8187</v>
      </c>
      <c r="C58" s="18" t="n">
        <v>-23.6086</v>
      </c>
      <c r="D58" s="16" t="n">
        <v>9</v>
      </c>
      <c r="E58" s="19">
        <f>기준값!$B$4</f>
        <v/>
      </c>
      <c r="F58" s="19">
        <f>기준값!$B$10</f>
        <v/>
      </c>
      <c r="G58" s="19">
        <f>기준값!$B$9</f>
        <v/>
      </c>
      <c r="H58" s="20">
        <f>기준값!$B$11</f>
        <v/>
      </c>
      <c r="I58" s="21">
        <f>IF(C58&lt;H58,"경보","")</f>
        <v/>
      </c>
      <c r="J58" s="21">
        <f>IF(B58&lt;F58,"이탈","")</f>
        <v/>
      </c>
    </row>
    <row r="59">
      <c r="A59" s="16" t="inlineStr">
        <is>
          <t>2026-02-27</t>
        </is>
      </c>
      <c r="B59" s="17" t="n">
        <v>9.824400000000001</v>
      </c>
      <c r="C59" s="18" t="n">
        <v>-31.6504</v>
      </c>
      <c r="D59" s="16" t="n">
        <v>7</v>
      </c>
      <c r="E59" s="19">
        <f>기준값!$B$4</f>
        <v/>
      </c>
      <c r="F59" s="19">
        <f>기준값!$B$10</f>
        <v/>
      </c>
      <c r="G59" s="19">
        <f>기준값!$B$9</f>
        <v/>
      </c>
      <c r="H59" s="20">
        <f>기준값!$B$11</f>
        <v/>
      </c>
      <c r="I59" s="21">
        <f>IF(C59&lt;H59,"경보","")</f>
        <v/>
      </c>
      <c r="J59" s="21">
        <f>IF(B59&lt;F59,"이탈","")</f>
        <v/>
      </c>
    </row>
    <row r="60">
      <c r="A60" s="16" t="inlineStr">
        <is>
          <t>2026-02-28</t>
        </is>
      </c>
      <c r="B60" s="17" t="n">
        <v>9.801500000000001</v>
      </c>
      <c r="C60" s="18" t="n">
        <v>-37.3527</v>
      </c>
      <c r="D60" s="16" t="n">
        <v>4</v>
      </c>
      <c r="E60" s="19">
        <f>기준값!$B$4</f>
        <v/>
      </c>
      <c r="F60" s="19">
        <f>기준값!$B$10</f>
        <v/>
      </c>
      <c r="G60" s="19">
        <f>기준값!$B$9</f>
        <v/>
      </c>
      <c r="H60" s="20">
        <f>기준값!$B$11</f>
        <v/>
      </c>
      <c r="I60" s="21">
        <f>IF(C60&lt;H60,"경보","")</f>
        <v/>
      </c>
      <c r="J60" s="21">
        <f>IF(B60&lt;F60,"이탈","")</f>
        <v/>
      </c>
    </row>
    <row r="61">
      <c r="A61" s="16" t="inlineStr">
        <is>
          <t>2026-03-01</t>
        </is>
      </c>
      <c r="B61" s="17" t="n">
        <v>9.753500000000001</v>
      </c>
      <c r="C61" s="18" t="n">
        <v>-45.3721</v>
      </c>
      <c r="D61" s="16" t="n">
        <v>4</v>
      </c>
      <c r="E61" s="19">
        <f>기준값!$B$4</f>
        <v/>
      </c>
      <c r="F61" s="19">
        <f>기준값!$B$10</f>
        <v/>
      </c>
      <c r="G61" s="19">
        <f>기준값!$B$9</f>
        <v/>
      </c>
      <c r="H61" s="20">
        <f>기준값!$B$11</f>
        <v/>
      </c>
      <c r="I61" s="21">
        <f>IF(C61&lt;H61,"경보","")</f>
        <v/>
      </c>
      <c r="J61" s="21">
        <f>IF(B61&lt;F61,"이탈","")</f>
        <v/>
      </c>
    </row>
    <row r="62">
      <c r="A62" s="16" t="inlineStr">
        <is>
          <t>2026-03-02</t>
        </is>
      </c>
      <c r="B62" s="17" t="n">
        <v>9.767200000000001</v>
      </c>
      <c r="C62" s="18" t="n">
        <v>-69.2811</v>
      </c>
      <c r="D62" s="16" t="n">
        <v>13</v>
      </c>
      <c r="E62" s="19">
        <f>기준값!$B$4</f>
        <v/>
      </c>
      <c r="F62" s="19">
        <f>기준값!$B$10</f>
        <v/>
      </c>
      <c r="G62" s="19">
        <f>기준값!$B$9</f>
        <v/>
      </c>
      <c r="H62" s="20">
        <f>기준값!$B$11</f>
        <v/>
      </c>
      <c r="I62" s="21">
        <f>IF(C62&lt;H62,"경보","")</f>
        <v/>
      </c>
      <c r="J62" s="21">
        <f>IF(B62&lt;F62,"이탈","")</f>
        <v/>
      </c>
    </row>
    <row r="63">
      <c r="A63" s="16" t="inlineStr">
        <is>
          <t>2026-03-03</t>
        </is>
      </c>
      <c r="B63" s="17" t="n">
        <v>9.781700000000001</v>
      </c>
      <c r="C63" s="18" t="n">
        <v>-79.2706</v>
      </c>
      <c r="D63" s="16" t="n">
        <v>6</v>
      </c>
      <c r="E63" s="19">
        <f>기준값!$B$4</f>
        <v/>
      </c>
      <c r="F63" s="19">
        <f>기준값!$B$10</f>
        <v/>
      </c>
      <c r="G63" s="19">
        <f>기준값!$B$9</f>
        <v/>
      </c>
      <c r="H63" s="20">
        <f>기준값!$B$11</f>
        <v/>
      </c>
      <c r="I63" s="21">
        <f>IF(C63&lt;H63,"경보","")</f>
        <v/>
      </c>
      <c r="J63" s="21">
        <f>IF(B63&lt;F63,"이탈","")</f>
        <v/>
      </c>
    </row>
    <row r="64">
      <c r="A64" s="16" t="inlineStr">
        <is>
          <t>2026-03-04</t>
        </is>
      </c>
      <c r="B64" s="17" t="n">
        <v>9.7155</v>
      </c>
      <c r="C64" s="18" t="n">
        <v>-84.19759999999999</v>
      </c>
      <c r="D64" s="16" t="n">
        <v>2</v>
      </c>
      <c r="E64" s="19">
        <f>기준값!$B$4</f>
        <v/>
      </c>
      <c r="F64" s="19">
        <f>기준값!$B$10</f>
        <v/>
      </c>
      <c r="G64" s="19">
        <f>기준값!$B$9</f>
        <v/>
      </c>
      <c r="H64" s="20">
        <f>기준값!$B$11</f>
        <v/>
      </c>
      <c r="I64" s="21">
        <f>IF(C64&lt;H64,"경보","")</f>
        <v/>
      </c>
      <c r="J64" s="21">
        <f>IF(B64&lt;F64,"이탈","")</f>
        <v/>
      </c>
    </row>
    <row r="65">
      <c r="A65" s="16" t="inlineStr">
        <is>
          <t>2026-03-06</t>
        </is>
      </c>
      <c r="B65" s="17" t="n">
        <v>9.778700000000001</v>
      </c>
      <c r="C65" s="18" t="n">
        <v>-90.99809999999999</v>
      </c>
      <c r="D65" s="16" t="n">
        <v>4</v>
      </c>
      <c r="E65" s="19">
        <f>기준값!$B$4</f>
        <v/>
      </c>
      <c r="F65" s="19">
        <f>기준값!$B$10</f>
        <v/>
      </c>
      <c r="G65" s="19">
        <f>기준값!$B$9</f>
        <v/>
      </c>
      <c r="H65" s="20">
        <f>기준값!$B$11</f>
        <v/>
      </c>
      <c r="I65" s="21">
        <f>IF(C65&lt;H65,"경보","")</f>
        <v/>
      </c>
      <c r="J65" s="21">
        <f>IF(B65&lt;F65,"이탈","")</f>
        <v/>
      </c>
    </row>
    <row r="66">
      <c r="A66" s="16" t="inlineStr">
        <is>
          <t>2026-03-07</t>
        </is>
      </c>
      <c r="B66" s="17" t="n">
        <v>9.806699999999999</v>
      </c>
      <c r="C66" s="18" t="n">
        <v>-99.1773</v>
      </c>
      <c r="D66" s="16" t="n">
        <v>6</v>
      </c>
      <c r="E66" s="19">
        <f>기준값!$B$4</f>
        <v/>
      </c>
      <c r="F66" s="19">
        <f>기준값!$B$10</f>
        <v/>
      </c>
      <c r="G66" s="19">
        <f>기준값!$B$9</f>
        <v/>
      </c>
      <c r="H66" s="20">
        <f>기준값!$B$11</f>
        <v/>
      </c>
      <c r="I66" s="21">
        <f>IF(C66&lt;H66,"경보","")</f>
        <v/>
      </c>
      <c r="J66" s="21">
        <f>IF(B66&lt;F66,"이탈","")</f>
        <v/>
      </c>
    </row>
    <row r="67">
      <c r="A67" s="16" t="inlineStr">
        <is>
          <t>2026-03-08</t>
        </is>
      </c>
      <c r="B67" s="17" t="n">
        <v>9.7775</v>
      </c>
      <c r="C67" s="18" t="n">
        <v>-106.0381</v>
      </c>
      <c r="D67" s="16" t="n">
        <v>4</v>
      </c>
      <c r="E67" s="19">
        <f>기준값!$B$4</f>
        <v/>
      </c>
      <c r="F67" s="19">
        <f>기준값!$B$10</f>
        <v/>
      </c>
      <c r="G67" s="19">
        <f>기준값!$B$9</f>
        <v/>
      </c>
      <c r="H67" s="20">
        <f>기준값!$B$11</f>
        <v/>
      </c>
      <c r="I67" s="21">
        <f>IF(C67&lt;H67,"경보","")</f>
        <v/>
      </c>
      <c r="J67" s="21">
        <f>IF(B67&lt;F67,"이탈","")</f>
        <v/>
      </c>
    </row>
    <row r="68">
      <c r="A68" s="16" t="inlineStr">
        <is>
          <t>2026-03-09</t>
        </is>
      </c>
      <c r="B68" s="17" t="n">
        <v>9.817299999999999</v>
      </c>
      <c r="C68" s="18" t="n">
        <v>-109.7415</v>
      </c>
      <c r="D68" s="16" t="n">
        <v>3</v>
      </c>
      <c r="E68" s="19">
        <f>기준값!$B$4</f>
        <v/>
      </c>
      <c r="F68" s="19">
        <f>기준값!$B$10</f>
        <v/>
      </c>
      <c r="G68" s="19">
        <f>기준값!$B$9</f>
        <v/>
      </c>
      <c r="H68" s="20">
        <f>기준값!$B$11</f>
        <v/>
      </c>
      <c r="I68" s="21">
        <f>IF(C68&lt;H68,"경보","")</f>
        <v/>
      </c>
      <c r="J68" s="21">
        <f>IF(B68&lt;F68,"이탈","")</f>
        <v/>
      </c>
    </row>
    <row r="69">
      <c r="A69" s="16" t="inlineStr">
        <is>
          <t>2026-03-10</t>
        </is>
      </c>
      <c r="B69" s="17" t="n">
        <v>9.766299999999999</v>
      </c>
      <c r="C69" s="18" t="n">
        <v>-115.2914</v>
      </c>
      <c r="D69" s="16" t="n">
        <v>3</v>
      </c>
      <c r="E69" s="19">
        <f>기준값!$B$4</f>
        <v/>
      </c>
      <c r="F69" s="19">
        <f>기준값!$B$10</f>
        <v/>
      </c>
      <c r="G69" s="19">
        <f>기준값!$B$9</f>
        <v/>
      </c>
      <c r="H69" s="20">
        <f>기준값!$B$11</f>
        <v/>
      </c>
      <c r="I69" s="21">
        <f>IF(C69&lt;H69,"경보","")</f>
        <v/>
      </c>
      <c r="J69" s="21">
        <f>IF(B69&lt;F69,"이탈","")</f>
        <v/>
      </c>
    </row>
    <row r="70">
      <c r="A70" s="16" t="inlineStr">
        <is>
          <t>2026-03-11</t>
        </is>
      </c>
      <c r="B70" s="17" t="n">
        <v>9.7315</v>
      </c>
      <c r="C70" s="18" t="n">
        <v>-124.3729</v>
      </c>
      <c r="D70" s="16" t="n">
        <v>4</v>
      </c>
      <c r="E70" s="19">
        <f>기준값!$B$4</f>
        <v/>
      </c>
      <c r="F70" s="19">
        <f>기준값!$B$10</f>
        <v/>
      </c>
      <c r="G70" s="19">
        <f>기준값!$B$9</f>
        <v/>
      </c>
      <c r="H70" s="20">
        <f>기준값!$B$11</f>
        <v/>
      </c>
      <c r="I70" s="21">
        <f>IF(C70&lt;H70,"경보","")</f>
        <v/>
      </c>
      <c r="J70" s="21">
        <f>IF(B70&lt;F70,"이탈","")</f>
        <v/>
      </c>
    </row>
    <row r="71">
      <c r="A71" s="16" t="inlineStr">
        <is>
          <t>2026-03-12</t>
        </is>
      </c>
      <c r="B71" s="17" t="n">
        <v>9.779</v>
      </c>
      <c r="C71" s="18" t="n">
        <v>-136.2527</v>
      </c>
      <c r="D71" s="16" t="n">
        <v>7</v>
      </c>
      <c r="E71" s="19">
        <f>기준값!$B$4</f>
        <v/>
      </c>
      <c r="F71" s="19">
        <f>기준값!$B$10</f>
        <v/>
      </c>
      <c r="G71" s="19">
        <f>기준값!$B$9</f>
        <v/>
      </c>
      <c r="H71" s="20">
        <f>기준값!$B$11</f>
        <v/>
      </c>
      <c r="I71" s="21">
        <f>IF(C71&lt;H71,"경보","")</f>
        <v/>
      </c>
      <c r="J71" s="21">
        <f>IF(B71&lt;F71,"이탈","")</f>
        <v/>
      </c>
    </row>
    <row r="72">
      <c r="A72" s="16" t="inlineStr">
        <is>
          <t>2026-03-13</t>
        </is>
      </c>
      <c r="B72" s="17" t="n">
        <v>9.766999999999999</v>
      </c>
      <c r="C72" s="18" t="n">
        <v>-149.1462</v>
      </c>
      <c r="D72" s="16" t="n">
        <v>7</v>
      </c>
      <c r="E72" s="19">
        <f>기준값!$B$4</f>
        <v/>
      </c>
      <c r="F72" s="19">
        <f>기준값!$B$10</f>
        <v/>
      </c>
      <c r="G72" s="19">
        <f>기준값!$B$9</f>
        <v/>
      </c>
      <c r="H72" s="20">
        <f>기준값!$B$11</f>
        <v/>
      </c>
      <c r="I72" s="21">
        <f>IF(C72&lt;H72,"경보","")</f>
        <v/>
      </c>
      <c r="J72" s="21">
        <f>IF(B72&lt;F72,"이탈","")</f>
        <v/>
      </c>
    </row>
    <row r="73">
      <c r="A73" s="16" t="inlineStr">
        <is>
          <t>2026-03-14</t>
        </is>
      </c>
      <c r="B73" s="17" t="n">
        <v>9.77</v>
      </c>
      <c r="C73" s="18" t="n">
        <v>-150.952</v>
      </c>
      <c r="D73" s="16" t="n">
        <v>1</v>
      </c>
      <c r="E73" s="19">
        <f>기준값!$B$4</f>
        <v/>
      </c>
      <c r="F73" s="19">
        <f>기준값!$B$10</f>
        <v/>
      </c>
      <c r="G73" s="19">
        <f>기준값!$B$9</f>
        <v/>
      </c>
      <c r="H73" s="20">
        <f>기준값!$B$11</f>
        <v/>
      </c>
      <c r="I73" s="21">
        <f>IF(C73&lt;H73,"경보","")</f>
        <v/>
      </c>
      <c r="J73" s="21">
        <f>IF(B73&lt;F73,"이탈","")</f>
        <v/>
      </c>
    </row>
    <row r="74">
      <c r="A74" s="16" t="inlineStr">
        <is>
          <t>2026-03-15</t>
        </is>
      </c>
      <c r="B74" s="17" t="n">
        <v>9.7593</v>
      </c>
      <c r="C74" s="18" t="n">
        <v>-164.4972</v>
      </c>
      <c r="D74" s="16" t="n">
        <v>7</v>
      </c>
      <c r="E74" s="19">
        <f>기준값!$B$4</f>
        <v/>
      </c>
      <c r="F74" s="19">
        <f>기준값!$B$10</f>
        <v/>
      </c>
      <c r="G74" s="19">
        <f>기준값!$B$9</f>
        <v/>
      </c>
      <c r="H74" s="20">
        <f>기준값!$B$11</f>
        <v/>
      </c>
      <c r="I74" s="21">
        <f>IF(C74&lt;H74,"경보","")</f>
        <v/>
      </c>
      <c r="J74" s="21">
        <f>IF(B74&lt;F74,"이탈","")</f>
        <v/>
      </c>
    </row>
    <row r="75">
      <c r="A75" s="16" t="inlineStr">
        <is>
          <t>2026-03-16</t>
        </is>
      </c>
      <c r="B75" s="17" t="n">
        <v>9.783799999999999</v>
      </c>
      <c r="C75" s="18" t="n">
        <v>-174.3299</v>
      </c>
      <c r="D75" s="16" t="n">
        <v>6</v>
      </c>
      <c r="E75" s="19">
        <f>기준값!$B$4</f>
        <v/>
      </c>
      <c r="F75" s="19">
        <f>기준값!$B$10</f>
        <v/>
      </c>
      <c r="G75" s="19">
        <f>기준값!$B$9</f>
        <v/>
      </c>
      <c r="H75" s="20">
        <f>기준값!$B$11</f>
        <v/>
      </c>
      <c r="I75" s="21">
        <f>IF(C75&lt;H75,"경보","")</f>
        <v/>
      </c>
      <c r="J75" s="21">
        <f>IF(B75&lt;F75,"이탈","")</f>
        <v/>
      </c>
    </row>
    <row r="76">
      <c r="A76" s="16" t="inlineStr">
        <is>
          <t>2026-03-17</t>
        </is>
      </c>
      <c r="B76" s="17" t="n">
        <v>9.7912</v>
      </c>
      <c r="C76" s="18" t="n">
        <v>-182.0792</v>
      </c>
      <c r="D76" s="16" t="n">
        <v>5</v>
      </c>
      <c r="E76" s="19">
        <f>기준값!$B$4</f>
        <v/>
      </c>
      <c r="F76" s="19">
        <f>기준값!$B$10</f>
        <v/>
      </c>
      <c r="G76" s="19">
        <f>기준값!$B$9</f>
        <v/>
      </c>
      <c r="H76" s="20">
        <f>기준값!$B$11</f>
        <v/>
      </c>
      <c r="I76" s="21">
        <f>IF(C76&lt;H76,"경보","")</f>
        <v/>
      </c>
      <c r="J76" s="21">
        <f>IF(B76&lt;F76,"이탈","")</f>
        <v/>
      </c>
    </row>
    <row r="77">
      <c r="A77" s="16" t="inlineStr">
        <is>
          <t>2026-03-18</t>
        </is>
      </c>
      <c r="B77" s="17" t="n">
        <v>9.773400000000001</v>
      </c>
      <c r="C77" s="18" t="n">
        <v>-190.9026</v>
      </c>
      <c r="D77" s="16" t="n">
        <v>5</v>
      </c>
      <c r="E77" s="19">
        <f>기준값!$B$4</f>
        <v/>
      </c>
      <c r="F77" s="19">
        <f>기준값!$B$10</f>
        <v/>
      </c>
      <c r="G77" s="19">
        <f>기준값!$B$9</f>
        <v/>
      </c>
      <c r="H77" s="20">
        <f>기준값!$B$11</f>
        <v/>
      </c>
      <c r="I77" s="21">
        <f>IF(C77&lt;H77,"경보","")</f>
        <v/>
      </c>
      <c r="J77" s="21">
        <f>IF(B77&lt;F77,"이탈","")</f>
        <v/>
      </c>
    </row>
    <row r="78">
      <c r="A78" s="16" t="inlineStr">
        <is>
          <t>2026-03-19</t>
        </is>
      </c>
      <c r="B78" s="17" t="n">
        <v>9.772</v>
      </c>
      <c r="C78" s="18" t="n">
        <v>-196.2474</v>
      </c>
      <c r="D78" s="16" t="n">
        <v>3</v>
      </c>
      <c r="E78" s="19">
        <f>기준값!$B$4</f>
        <v/>
      </c>
      <c r="F78" s="19">
        <f>기준값!$B$10</f>
        <v/>
      </c>
      <c r="G78" s="19">
        <f>기준값!$B$9</f>
        <v/>
      </c>
      <c r="H78" s="20">
        <f>기준값!$B$11</f>
        <v/>
      </c>
      <c r="I78" s="21">
        <f>IF(C78&lt;H78,"경보","")</f>
        <v/>
      </c>
      <c r="J78" s="21">
        <f>IF(B78&lt;F78,"이탈","")</f>
        <v/>
      </c>
    </row>
    <row r="79">
      <c r="A79" s="16" t="inlineStr">
        <is>
          <t>2026-03-20</t>
        </is>
      </c>
      <c r="B79" s="17" t="n">
        <v>9.760199999999999</v>
      </c>
      <c r="C79" s="18" t="n">
        <v>-203.941</v>
      </c>
      <c r="D79" s="16" t="n">
        <v>4</v>
      </c>
      <c r="E79" s="19">
        <f>기준값!$B$4</f>
        <v/>
      </c>
      <c r="F79" s="19">
        <f>기준값!$B$10</f>
        <v/>
      </c>
      <c r="G79" s="19">
        <f>기준값!$B$9</f>
        <v/>
      </c>
      <c r="H79" s="20">
        <f>기준값!$B$11</f>
        <v/>
      </c>
      <c r="I79" s="21">
        <f>IF(C79&lt;H79,"경보","")</f>
        <v/>
      </c>
      <c r="J79" s="21">
        <f>IF(B79&lt;F79,"이탈","")</f>
        <v/>
      </c>
    </row>
    <row r="80">
      <c r="A80" s="16" t="inlineStr">
        <is>
          <t>2026-03-21</t>
        </is>
      </c>
      <c r="B80" s="17" t="n">
        <v>9.763299999999999</v>
      </c>
      <c r="C80" s="18" t="n">
        <v>-220.9167</v>
      </c>
      <c r="D80" s="16" t="n">
        <v>9</v>
      </c>
      <c r="E80" s="19">
        <f>기준값!$B$4</f>
        <v/>
      </c>
      <c r="F80" s="19">
        <f>기준값!$B$10</f>
        <v/>
      </c>
      <c r="G80" s="19">
        <f>기준값!$B$9</f>
        <v/>
      </c>
      <c r="H80" s="20">
        <f>기준값!$B$11</f>
        <v/>
      </c>
      <c r="I80" s="21">
        <f>IF(C80&lt;H80,"경보","")</f>
        <v/>
      </c>
      <c r="J80" s="21">
        <f>IF(B80&lt;F80,"이탈","")</f>
        <v/>
      </c>
    </row>
    <row r="81">
      <c r="A81" s="16" t="inlineStr">
        <is>
          <t>2026-03-22</t>
        </is>
      </c>
      <c r="B81" s="17" t="n">
        <v>9.7834</v>
      </c>
      <c r="C81" s="18" t="n">
        <v>-232.4223</v>
      </c>
      <c r="D81" s="16" t="n">
        <v>7</v>
      </c>
      <c r="E81" s="19">
        <f>기준값!$B$4</f>
        <v/>
      </c>
      <c r="F81" s="19">
        <f>기준값!$B$10</f>
        <v/>
      </c>
      <c r="G81" s="19">
        <f>기준값!$B$9</f>
        <v/>
      </c>
      <c r="H81" s="20">
        <f>기준값!$B$11</f>
        <v/>
      </c>
      <c r="I81" s="21">
        <f>IF(C81&lt;H81,"경보","")</f>
        <v/>
      </c>
      <c r="J81" s="21">
        <f>IF(B81&lt;F81,"이탈","")</f>
        <v/>
      </c>
    </row>
    <row r="82">
      <c r="A82" s="16" t="inlineStr">
        <is>
          <t>2026-03-23</t>
        </is>
      </c>
      <c r="B82" s="17" t="n">
        <v>9.744899999999999</v>
      </c>
      <c r="C82" s="18" t="n">
        <v>-247.1865</v>
      </c>
      <c r="D82" s="16" t="n">
        <v>7</v>
      </c>
      <c r="E82" s="19">
        <f>기준값!$B$4</f>
        <v/>
      </c>
      <c r="F82" s="19">
        <f>기준값!$B$10</f>
        <v/>
      </c>
      <c r="G82" s="19">
        <f>기준값!$B$9</f>
        <v/>
      </c>
      <c r="H82" s="20">
        <f>기준값!$B$11</f>
        <v/>
      </c>
      <c r="I82" s="21">
        <f>IF(C82&lt;H82,"경보","")</f>
        <v/>
      </c>
      <c r="J82" s="21">
        <f>IF(B82&lt;F82,"이탈","")</f>
        <v/>
      </c>
    </row>
    <row r="83">
      <c r="A83" s="16" t="inlineStr">
        <is>
          <t>2026-03-24</t>
        </is>
      </c>
      <c r="B83" s="17" t="n">
        <v>9.764799999999999</v>
      </c>
      <c r="C83" s="18" t="n">
        <v>-254.6629</v>
      </c>
      <c r="D83" s="16" t="n">
        <v>4</v>
      </c>
      <c r="E83" s="19">
        <f>기준값!$B$4</f>
        <v/>
      </c>
      <c r="F83" s="19">
        <f>기준값!$B$10</f>
        <v/>
      </c>
      <c r="G83" s="19">
        <f>기준값!$B$9</f>
        <v/>
      </c>
      <c r="H83" s="20">
        <f>기준값!$B$11</f>
        <v/>
      </c>
      <c r="I83" s="21">
        <f>IF(C83&lt;H83,"경보","")</f>
        <v/>
      </c>
      <c r="J83" s="21">
        <f>IF(B83&lt;F83,"이탈","")</f>
        <v/>
      </c>
    </row>
    <row r="84">
      <c r="A84" s="16" t="inlineStr">
        <is>
          <t>2026-03-25</t>
        </is>
      </c>
      <c r="B84" s="17" t="n">
        <v>9.7812</v>
      </c>
      <c r="C84" s="18" t="n">
        <v>-264.6886</v>
      </c>
      <c r="D84" s="16" t="n">
        <v>6</v>
      </c>
      <c r="E84" s="19">
        <f>기준값!$B$4</f>
        <v/>
      </c>
      <c r="F84" s="19">
        <f>기준값!$B$10</f>
        <v/>
      </c>
      <c r="G84" s="19">
        <f>기준값!$B$9</f>
        <v/>
      </c>
      <c r="H84" s="20">
        <f>기준값!$B$11</f>
        <v/>
      </c>
      <c r="I84" s="21">
        <f>IF(C84&lt;H84,"경보","")</f>
        <v/>
      </c>
      <c r="J84" s="21">
        <f>IF(B84&lt;F84,"이탈","")</f>
        <v/>
      </c>
    </row>
    <row r="85">
      <c r="A85" s="16" t="inlineStr">
        <is>
          <t>2026-03-26</t>
        </is>
      </c>
      <c r="B85" s="17" t="n">
        <v>9.781499999999999</v>
      </c>
      <c r="C85" s="18" t="n">
        <v>-271.3564</v>
      </c>
      <c r="D85" s="16" t="n">
        <v>4</v>
      </c>
      <c r="E85" s="19">
        <f>기준값!$B$4</f>
        <v/>
      </c>
      <c r="F85" s="19">
        <f>기준값!$B$10</f>
        <v/>
      </c>
      <c r="G85" s="19">
        <f>기준값!$B$9</f>
        <v/>
      </c>
      <c r="H85" s="20">
        <f>기준값!$B$11</f>
        <v/>
      </c>
      <c r="I85" s="21">
        <f>IF(C85&lt;H85,"경보","")</f>
        <v/>
      </c>
      <c r="J85" s="21">
        <f>IF(B85&lt;F85,"이탈","")</f>
        <v/>
      </c>
    </row>
    <row r="86">
      <c r="A86" s="16" t="inlineStr">
        <is>
          <t>2026-03-27</t>
        </is>
      </c>
      <c r="B86" s="17" t="n">
        <v>9.7599</v>
      </c>
      <c r="C86" s="18" t="n">
        <v>-286.7798</v>
      </c>
      <c r="D86" s="16" t="n">
        <v>8</v>
      </c>
      <c r="E86" s="19">
        <f>기준값!$B$4</f>
        <v/>
      </c>
      <c r="F86" s="19">
        <f>기준값!$B$10</f>
        <v/>
      </c>
      <c r="G86" s="19">
        <f>기준값!$B$9</f>
        <v/>
      </c>
      <c r="H86" s="20">
        <f>기준값!$B$11</f>
        <v/>
      </c>
      <c r="I86" s="21">
        <f>IF(C86&lt;H86,"경보","")</f>
        <v/>
      </c>
      <c r="J86" s="21">
        <f>IF(B86&lt;F86,"이탈","")</f>
        <v/>
      </c>
    </row>
    <row r="87">
      <c r="A87" s="16" t="inlineStr">
        <is>
          <t>2026-03-28</t>
        </is>
      </c>
      <c r="B87" s="17" t="n">
        <v>9.7454</v>
      </c>
      <c r="C87" s="18" t="n">
        <v>-297.2929</v>
      </c>
      <c r="D87" s="16" t="n">
        <v>5</v>
      </c>
      <c r="E87" s="19">
        <f>기준값!$B$4</f>
        <v/>
      </c>
      <c r="F87" s="19">
        <f>기준값!$B$10</f>
        <v/>
      </c>
      <c r="G87" s="19">
        <f>기준값!$B$9</f>
        <v/>
      </c>
      <c r="H87" s="20">
        <f>기준값!$B$11</f>
        <v/>
      </c>
      <c r="I87" s="21">
        <f>IF(C87&lt;H87,"경보","")</f>
        <v/>
      </c>
      <c r="J87" s="21">
        <f>IF(B87&lt;F87,"이탈","")</f>
        <v/>
      </c>
    </row>
    <row r="88">
      <c r="A88" s="16" t="inlineStr">
        <is>
          <t>2026-03-29</t>
        </is>
      </c>
      <c r="B88" s="17" t="n">
        <v>9.749000000000001</v>
      </c>
      <c r="C88" s="18" t="n">
        <v>-309.6479</v>
      </c>
      <c r="D88" s="16" t="n">
        <v>6</v>
      </c>
      <c r="E88" s="19">
        <f>기준값!$B$4</f>
        <v/>
      </c>
      <c r="F88" s="19">
        <f>기준값!$B$10</f>
        <v/>
      </c>
      <c r="G88" s="19">
        <f>기준값!$B$9</f>
        <v/>
      </c>
      <c r="H88" s="20">
        <f>기준값!$B$11</f>
        <v/>
      </c>
      <c r="I88" s="21">
        <f>IF(C88&lt;H88,"경보","")</f>
        <v/>
      </c>
      <c r="J88" s="21">
        <f>IF(B88&lt;F88,"이탈","")</f>
        <v/>
      </c>
    </row>
    <row r="89">
      <c r="A89" s="16" t="inlineStr">
        <is>
          <t>2026-03-30</t>
        </is>
      </c>
      <c r="B89" s="17" t="n">
        <v>9.7536</v>
      </c>
      <c r="C89" s="18" t="n">
        <v>-319.6662</v>
      </c>
      <c r="D89" s="16" t="n">
        <v>5</v>
      </c>
      <c r="E89" s="19">
        <f>기준값!$B$4</f>
        <v/>
      </c>
      <c r="F89" s="19">
        <f>기준값!$B$10</f>
        <v/>
      </c>
      <c r="G89" s="19">
        <f>기준값!$B$9</f>
        <v/>
      </c>
      <c r="H89" s="20">
        <f>기준값!$B$11</f>
        <v/>
      </c>
      <c r="I89" s="21">
        <f>IF(C89&lt;H89,"경보","")</f>
        <v/>
      </c>
      <c r="J89" s="21">
        <f>IF(B89&lt;F89,"이탈","")</f>
        <v/>
      </c>
    </row>
    <row r="91">
      <c r="A91" s="2" t="inlineStr">
        <is>
          <t>출처: DP_HealthIndex_Dataset.csv 467샷을 일 단위로 집계 (docs/발표_그림1_CUSUM_vs_관리도.csv). 누적합은 샷 단위 CUSUM의 그날 최솟값.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그림1 — 값은 관리한계 안인데 누적합은 이미 경보선을 넘었다</t>
        </is>
      </c>
    </row>
    <row r="2">
      <c r="A2" s="2" t="inlineStr">
        <is>
          <t>CUSUM 첫 경보 2026-02-23 (그날 일평균 9.8716, 관리하한 9.7290 안쪽) · 값이 관리하한을 처음 깬 날 2026-03-04 → 9일 차이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2026-08-16T06:46:15Z</dcterms:created>
  <dcterms:modified xmlns:dcterms="http://purl.org/dc/terms/" xmlns:xsi="http://www.w3.org/2001/XMLSchema-instance" xsi:type="dcterms:W3CDTF">2026-08-16T06:46:15Z</dcterms:modified>
</cp:coreProperties>
</file>